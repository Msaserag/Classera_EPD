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rack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'Products'!$A$1:$K$7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0E3350"/>
      <sz val="16"/>
    </font>
    <font>
      <name val="Arial"/>
      <family val="2"/>
      <color rgb="FF7A8CA0"/>
      <sz val="10"/>
    </font>
    <font>
      <name val="Arial"/>
      <family val="2"/>
      <color rgb="FF1E2E3A"/>
      <sz val="10"/>
    </font>
    <font>
      <name val="Arial"/>
      <family val="2"/>
      <b val="1"/>
      <color rgb="FF0E3350"/>
      <sz val="12"/>
    </font>
    <font>
      <name val="Arial"/>
      <family val="2"/>
      <b val="1"/>
      <color rgb="FFD68A21"/>
      <sz val="10"/>
    </font>
    <font>
      <name val="Arial"/>
      <family val="2"/>
      <b val="1"/>
      <color rgb="FFB4402F"/>
      <sz val="10"/>
    </font>
    <font>
      <name val="Arial"/>
      <family val="2"/>
      <b val="1"/>
      <color rgb="FFEAF3F8"/>
      <sz val="10"/>
    </font>
    <font>
      <name val="Arial"/>
      <family val="2"/>
      <sz val="10"/>
    </font>
    <font>
      <name val="Arial"/>
      <family val="2"/>
      <b val="1"/>
      <color rgb="FF0E3350"/>
      <sz val="14"/>
    </font>
    <font>
      <name val="Arial"/>
      <family val="2"/>
      <b val="1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sz val="8"/>
    </font>
  </fonts>
  <fills count="6">
    <fill>
      <patternFill/>
    </fill>
    <fill>
      <patternFill patternType="gray125"/>
    </fill>
    <fill>
      <patternFill patternType="solid">
        <fgColor rgb="FF0E3350"/>
        <bgColor rgb="FF1E2E3A"/>
      </patternFill>
    </fill>
    <fill>
      <patternFill patternType="solid">
        <fgColor rgb="FFE2F3F6"/>
        <bgColor rgb="FFEAF3F8"/>
      </patternFill>
    </fill>
    <fill>
      <patternFill patternType="solid">
        <fgColor rgb="FFF2F6FA"/>
        <bgColor rgb="FFEAF3F8"/>
      </patternFill>
    </fill>
    <fill>
      <patternFill patternType="solid">
        <fgColor rgb="FFFFF8E1"/>
        <bgColor rgb="FFF2F6FA"/>
      </patternFill>
    </fill>
  </fills>
  <borders count="2">
    <border>
      <left/>
      <right/>
      <top/>
      <bottom/>
      <diagonal/>
    </border>
    <border>
      <left style="thin">
        <color rgb="FFDCE6EE"/>
      </left>
      <right style="thin">
        <color rgb="FFDCE6EE"/>
      </right>
      <top style="thin">
        <color rgb="FFDCE6EE"/>
      </top>
      <bottom style="thin">
        <color rgb="FFDCE6EE"/>
      </bottom>
      <diagonal/>
    </border>
  </borders>
  <cellStyleXfs count="2">
    <xf numFmtId="0" fontId="0" fillId="0" borderId="0"/>
    <xf numFmtId="0" fontId="12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8" fillId="2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9" fillId="4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11" fillId="3" borderId="1" pivotButton="0" quotePrefix="0" xfId="0"/>
    <xf numFmtId="0" fontId="12" fillId="5" borderId="1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1" defaultTableStyle="TableStyleMedium2" defaultPivotStyle="PivotStyleLight16">
    <tableStyle name="Invisible" pivot="0" table="0" count="0"/>
  </tableStyles>
  <colors>
    <indexedColors>
      <rgbColor rgb="FF000000"/>
      <rgbColor rgb="FFF2F6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CA0"/>
      <rgbColor rgb="FF9999FF"/>
      <rgbColor rgb="FF993366"/>
      <rgbColor rgb="FFFFF8E1"/>
      <rgbColor rgb="FFE2F3F6"/>
      <rgbColor rgb="FF660066"/>
      <rgbColor rgb="FFFF8080"/>
      <rgbColor rgb="FF0066CC"/>
      <rgbColor rgb="FFDCE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68A21"/>
      <rgbColor rgb="FFFF6600"/>
      <rgbColor rgb="FF666699"/>
      <rgbColor rgb="FF969696"/>
      <rgbColor rgb="FF0E3350"/>
      <rgbColor rgb="FF339966"/>
      <rgbColor rgb="FF003300"/>
      <rgbColor rgb="FF333300"/>
      <rgbColor rgb="FFB4402F"/>
      <rgbColor rgb="FF993366"/>
      <rgbColor rgb="FF333399"/>
      <rgbColor rgb="FF1E2E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Never change an existing key. Tracks are matched to products by this value.</t>
      </text>
    </comment>
    <comment ref="I1" authorId="0" shapeId="0">
      <text>
        <t>Host only, no https:// and no trailing slash. Example: elearning.classera.com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O1" authorId="0" shapeId="0">
      <text>
        <t>Paste the full course or learning-path URL. Leave empty and the button opens the platform sign-in with a 'coming soon' note.</t>
      </text>
    </comment>
    <comment ref="P1" authorId="0" shapeId="0">
      <text>
        <t>Optional. The matching user-manual page. Leave empty to hide the 'Read the manual' button.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elearning.classera.com/lectures-list/?course_title=Administrator%20Account%20|%20AY26&amp;course_type=2&amp;c=eyJjb3Vyc2VfaWQiOiIxMjIzNjIifQ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min="1" max="1"/>
    <col width="112" customWidth="1" min="2" max="2"/>
  </cols>
  <sheetData>
    <row r="2" ht="20.25" customHeight="1">
      <c r="B2" s="1" t="inlineStr">
        <is>
          <t>Classera Onboarding Hub - content control</t>
        </is>
      </c>
    </row>
    <row r="3">
      <c r="B3" s="2" t="inlineStr">
        <is>
          <t>onboarding.classera.com  |  edit this file, the site follows</t>
        </is>
      </c>
    </row>
    <row r="4">
      <c r="B4" s="3" t="n"/>
    </row>
    <row r="5" ht="15.75" customHeight="1">
      <c r="B5" s="4" t="inlineStr">
        <is>
          <t>How to publish a change</t>
        </is>
      </c>
    </row>
    <row r="6">
      <c r="B6" s="3" t="inlineStr">
        <is>
          <t>1.  Edit the Products or Tracks sheet below. Save.</t>
        </is>
      </c>
    </row>
    <row r="7">
      <c r="B7" s="3" t="inlineStr">
        <is>
          <t>2.  On GitHub, open the site repository and click Add file &gt; Upload files.</t>
        </is>
      </c>
    </row>
    <row r="8">
      <c r="B8" s="3" t="inlineStr">
        <is>
          <t>3.  Drop this file in, renamed exactly onboarding-tracker.xlsx. It replaces the old one.</t>
        </is>
      </c>
    </row>
    <row r="9">
      <c r="B9" s="3" t="inlineStr">
        <is>
          <t>4.  Click Commit changes. The site refreshes within about a minute.</t>
        </is>
      </c>
    </row>
    <row r="10">
      <c r="B10" s="3" t="n"/>
    </row>
    <row r="11" ht="15.75" customHeight="1">
      <c r="B11" s="4" t="inlineStr">
        <is>
          <t>What each sheet controls</t>
        </is>
      </c>
    </row>
    <row r="12">
      <c r="B12" s="3" t="inlineStr">
        <is>
          <t>Products   One row per card in step 1. Order sets the position. Platform Host is where the track opens.</t>
        </is>
      </c>
    </row>
    <row r="13">
      <c r="B13" s="3" t="inlineStr">
        <is>
          <t>Tracks     One row per track card in step 3. The role chips in step 2 are built from this sheet.</t>
        </is>
      </c>
    </row>
    <row r="14">
      <c r="B14" s="3" t="inlineStr">
        <is>
          <t>Lists      The allowed values. Do not rename them.</t>
        </is>
      </c>
    </row>
    <row r="15">
      <c r="B15" s="3" t="inlineStr">
        <is>
          <t>Summary    Live counts. Read only.</t>
        </is>
      </c>
    </row>
    <row r="16">
      <c r="B16" s="3" t="n"/>
    </row>
    <row r="17" ht="15.75" customHeight="1">
      <c r="B17" s="4" t="inlineStr">
        <is>
          <t>Rules that keep it working</t>
        </is>
      </c>
    </row>
    <row r="18">
      <c r="B18" s="3" t="inlineStr">
        <is>
          <t>Never change an existing Site Key. It is how a row stays matched to its card.</t>
        </is>
      </c>
    </row>
    <row r="19">
      <c r="B19" s="3" t="inlineStr">
        <is>
          <t>Keep the column headers exactly as they are. Add rows, never columns.</t>
        </is>
      </c>
    </row>
    <row r="20">
      <c r="B20" s="3" t="inlineStr">
        <is>
          <t>Product Key on a track row must match a Site Key on the Products sheet.</t>
        </is>
      </c>
    </row>
    <row r="21">
      <c r="B21" s="3" t="inlineStr">
        <is>
          <t>A role appears in step 2 as soon as one track row uses its Role Key. Role Order sets the chip order.</t>
        </is>
      </c>
    </row>
    <row r="22">
      <c r="B22" s="3" t="inlineStr">
        <is>
          <t>Course Link empty: the button opens the platform sign-in and shows 'Course link will be updated soon'.</t>
        </is>
      </c>
    </row>
    <row r="23">
      <c r="B23" s="3" t="inlineStr">
        <is>
          <t>Manual Link empty: the 'Read the manual' button is hidden for that track.</t>
        </is>
      </c>
    </row>
    <row r="24">
      <c r="B24" s="3" t="inlineStr">
        <is>
          <t>Status Hidden: the row disappears from the site. Coming soon: shown, button disabled.</t>
        </is>
      </c>
    </row>
    <row r="25">
      <c r="B25" s="3" t="n"/>
    </row>
    <row r="26">
      <c r="B26" s="5" t="inlineStr">
        <is>
          <t>If this file is missing or cannot be read, the site shows its built-in content instead. Nothing breaks.</t>
        </is>
      </c>
    </row>
    <row r="27">
      <c r="B27" s="6" t="inlineStr">
        <is>
          <t>Everything in this file is public once uploaded. Keep anything confidential out of it.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11" customWidth="1" min="1" max="1"/>
    <col width="7" customWidth="1" min="2" max="2"/>
    <col width="30" customWidth="1" min="3" max="3"/>
    <col width="26" customWidth="1" min="4" max="4"/>
    <col width="42" customWidth="1" min="5" max="6"/>
    <col width="9" customWidth="1" min="7" max="8"/>
    <col width="30" customWidth="1" min="9" max="9"/>
    <col width="11" customWidth="1" min="10" max="10"/>
    <col width="13" customWidth="1" min="11" max="11"/>
  </cols>
  <sheetData>
    <row r="1" ht="30" customHeight="1">
      <c r="A1" s="7" t="inlineStr">
        <is>
          <t>Site Key</t>
        </is>
      </c>
      <c r="B1" s="7" t="inlineStr">
        <is>
          <t>Order</t>
        </is>
      </c>
      <c r="C1" s="7" t="inlineStr">
        <is>
          <t>Product (EN)</t>
        </is>
      </c>
      <c r="D1" s="7" t="inlineStr">
        <is>
          <t>Product (AR)</t>
        </is>
      </c>
      <c r="E1" s="7" t="inlineStr">
        <is>
          <t>Description (EN)</t>
        </is>
      </c>
      <c r="F1" s="7" t="inlineStr">
        <is>
          <t>Description (AR)</t>
        </is>
      </c>
      <c r="G1" s="7" t="inlineStr">
        <is>
          <t>Icon</t>
        </is>
      </c>
      <c r="H1" s="7" t="inlineStr">
        <is>
          <t>Accent</t>
        </is>
      </c>
      <c r="I1" s="7" t="inlineStr">
        <is>
          <t>Platform Host</t>
        </is>
      </c>
      <c r="J1" s="7" t="inlineStr">
        <is>
          <t>Login Path</t>
        </is>
      </c>
      <c r="K1" s="7" t="inlineStr">
        <is>
          <t>Status</t>
        </is>
      </c>
    </row>
    <row r="2" ht="25.5" customHeight="1">
      <c r="A2" s="8" t="inlineStr">
        <is>
          <t>lms</t>
        </is>
      </c>
      <c r="B2" s="9" t="n">
        <v>10</v>
      </c>
      <c r="C2" s="10" t="inlineStr">
        <is>
          <t>Learning Management System (LMS)</t>
        </is>
      </c>
      <c r="D2" s="10" t="inlineStr">
        <is>
          <t>نظام إدارة التعلم LMS</t>
        </is>
      </c>
      <c r="E2" s="10" t="inlineStr">
        <is>
          <t>Digital classes, assignments, assessment and parent communication.</t>
        </is>
      </c>
      <c r="F2" s="10" t="inlineStr">
        <is>
          <t>الفصول الرقمية، الواجبات، التقييم، والتواصل مع أولياء الأمور.</t>
        </is>
      </c>
      <c r="G2" s="9" t="inlineStr">
        <is>
          <t>lms</t>
        </is>
      </c>
      <c r="H2" s="9" t="inlineStr">
        <is>
          <t>cyan</t>
        </is>
      </c>
      <c r="I2" s="11" t="inlineStr">
        <is>
          <t>elearning.classera.com</t>
        </is>
      </c>
      <c r="J2" s="11" t="inlineStr">
        <is>
          <t>/login</t>
        </is>
      </c>
      <c r="K2" s="9" t="inlineStr">
        <is>
          <t>Live</t>
        </is>
      </c>
    </row>
    <row r="3" ht="25.5" customHeight="1">
      <c r="A3" s="8" t="inlineStr">
        <is>
          <t>tms</t>
        </is>
      </c>
      <c r="B3" s="12" t="n">
        <v>20</v>
      </c>
      <c r="C3" s="10" t="inlineStr">
        <is>
          <t>Training Management System (TMS)</t>
        </is>
      </c>
      <c r="D3" s="10" t="inlineStr">
        <is>
          <t>نظام إدارة التدريب TMS</t>
        </is>
      </c>
      <c r="E3" s="10" t="inlineStr">
        <is>
          <t>Plan training programs, registration, attendance and certificates.</t>
        </is>
      </c>
      <c r="F3" s="10" t="inlineStr">
        <is>
          <t>تخطيط البرامج التدريبية، التسجيل، الحضور، والشهادات.</t>
        </is>
      </c>
      <c r="G3" s="12" t="inlineStr">
        <is>
          <t>tms</t>
        </is>
      </c>
      <c r="H3" s="12" t="inlineStr">
        <is>
          <t>blue</t>
        </is>
      </c>
      <c r="I3" s="11" t="inlineStr">
        <is>
          <t>leadxeratraining.classera.com</t>
        </is>
      </c>
      <c r="J3" s="11" t="inlineStr">
        <is>
          <t>/login</t>
        </is>
      </c>
      <c r="K3" s="12" t="inlineStr">
        <is>
          <t>Live</t>
        </is>
      </c>
    </row>
    <row r="4" ht="25.5" customHeight="1">
      <c r="A4" s="8" t="inlineStr">
        <is>
          <t>erp</t>
        </is>
      </c>
      <c r="B4" s="9" t="n">
        <v>30</v>
      </c>
      <c r="C4" s="10" t="inlineStr">
        <is>
          <t>C-SmarX ERP</t>
        </is>
      </c>
      <c r="D4" s="10" t="inlineStr">
        <is>
          <t>نظام إدارة المؤسسة C-SmarX</t>
        </is>
      </c>
      <c r="E4" s="10" t="inlineStr">
        <is>
          <t>Admissions, finance, human resources and procurement.</t>
        </is>
      </c>
      <c r="F4" s="10" t="inlineStr">
        <is>
          <t>القبول والتسجيل، المالية، الموارد البشرية، والمشتريات.</t>
        </is>
      </c>
      <c r="G4" s="9" t="inlineStr">
        <is>
          <t>erp</t>
        </is>
      </c>
      <c r="H4" s="9" t="inlineStr">
        <is>
          <t>gold</t>
        </is>
      </c>
      <c r="I4" s="11" t="inlineStr">
        <is>
          <t>csmarxtraining.classera.com</t>
        </is>
      </c>
      <c r="J4" s="11" t="inlineStr">
        <is>
          <t>/login</t>
        </is>
      </c>
      <c r="K4" s="9" t="inlineStr">
        <is>
          <t>Live</t>
        </is>
      </c>
    </row>
    <row r="5" ht="25.5" customHeight="1">
      <c r="A5" s="8" t="inlineStr">
        <is>
          <t>cpay</t>
        </is>
      </c>
      <c r="B5" s="12" t="n">
        <v>40</v>
      </c>
      <c r="C5" s="10" t="inlineStr">
        <is>
          <t>C-Pay</t>
        </is>
      </c>
      <c r="D5" s="10" t="inlineStr">
        <is>
          <t>C-Pay للمدفوعات</t>
        </is>
      </c>
      <c r="E5" s="10" t="inlineStr">
        <is>
          <t>Digital fee collection, installment plans and settlements.</t>
        </is>
      </c>
      <c r="F5" s="10" t="inlineStr">
        <is>
          <t>تحصيل الرسوم إلكترونياً، خطط التقسيط، والتسويات.</t>
        </is>
      </c>
      <c r="G5" s="12" t="inlineStr">
        <is>
          <t>pay</t>
        </is>
      </c>
      <c r="H5" s="12" t="inlineStr">
        <is>
          <t>green</t>
        </is>
      </c>
      <c r="I5" s="11" t="n"/>
      <c r="J5" s="11" t="n"/>
      <c r="K5" s="12" t="inlineStr">
        <is>
          <t>Live</t>
        </is>
      </c>
    </row>
    <row r="6" ht="25.5" customHeight="1">
      <c r="A6" s="8" t="inlineStr">
        <is>
          <t>edumalls</t>
        </is>
      </c>
      <c r="B6" s="9" t="n">
        <v>50</v>
      </c>
      <c r="C6" s="10" t="inlineStr">
        <is>
          <t>Edumalls</t>
        </is>
      </c>
      <c r="D6" s="10" t="inlineStr">
        <is>
          <t>Edumalls</t>
        </is>
      </c>
      <c r="E6" s="10" t="inlineStr">
        <is>
          <t>The education marketplace: content, services and school products.</t>
        </is>
      </c>
      <c r="F6" s="10" t="inlineStr">
        <is>
          <t>المتجر التعليمي: المحتوى، الخدمات، والمنتجات المدرسية.</t>
        </is>
      </c>
      <c r="G6" s="9" t="inlineStr">
        <is>
          <t>mall</t>
        </is>
      </c>
      <c r="H6" s="9" t="inlineStr">
        <is>
          <t>gold</t>
        </is>
      </c>
      <c r="I6" s="11" t="n"/>
      <c r="J6" s="11" t="n"/>
      <c r="K6" s="9" t="inlineStr">
        <is>
          <t>Live</t>
        </is>
      </c>
    </row>
    <row r="7" ht="25.5" customHeight="1">
      <c r="A7" s="8" t="inlineStr">
        <is>
          <t>cinspire</t>
        </is>
      </c>
      <c r="B7" s="12" t="n">
        <v>60</v>
      </c>
      <c r="C7" s="10" t="inlineStr">
        <is>
          <t>C-Inspire</t>
        </is>
      </c>
      <c r="D7" s="10" t="inlineStr">
        <is>
          <t>C-Inspire</t>
        </is>
      </c>
      <c r="E7" s="10" t="inlineStr">
        <is>
          <t>A gamified points system that rewards students for behavior, participation and achievement.</t>
        </is>
      </c>
      <c r="F7" s="10" t="inlineStr">
        <is>
          <t>نظام نقاط محفّز يكافئ الطلاب على السلوك والمشاركة والإنجاز.</t>
        </is>
      </c>
      <c r="G7" s="12" t="inlineStr">
        <is>
          <t>spark</t>
        </is>
      </c>
      <c r="H7" s="12" t="inlineStr">
        <is>
          <t>cyan</t>
        </is>
      </c>
      <c r="I7" s="11" t="n"/>
      <c r="J7" s="11" t="n"/>
      <c r="K7" s="12" t="inlineStr">
        <is>
          <t>Live</t>
        </is>
      </c>
    </row>
  </sheetData>
  <autoFilter ref="A1:K7"/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8" sqref="N12:N35"/>
    </sheetView>
  </sheetViews>
  <sheetFormatPr baseColWidth="8" defaultColWidth="8.7109375" defaultRowHeight="15"/>
  <cols>
    <col width="10" customWidth="1" min="1" max="1"/>
    <col width="12" customWidth="1" min="2" max="2"/>
    <col width="11" customWidth="1" min="3" max="3"/>
    <col width="7" customWidth="1" min="4" max="4"/>
    <col width="18" customWidth="1" min="5" max="5"/>
    <col width="16" customWidth="1" min="6" max="6"/>
    <col width="7" customWidth="1" min="7" max="7"/>
    <col width="32" customWidth="1" min="8" max="8"/>
    <col width="28" customWidth="1" min="9" max="9"/>
    <col width="44" customWidth="1" min="10" max="11"/>
    <col width="10" customWidth="1" min="12" max="12"/>
    <col width="8" customWidth="1" min="13" max="14"/>
    <col width="34" customWidth="1" min="15" max="15"/>
    <col width="40" customWidth="1" min="16" max="16"/>
    <col width="13" customWidth="1" min="17" max="17"/>
    <col width="34" customWidth="1" min="18" max="18"/>
  </cols>
  <sheetData>
    <row r="1" ht="30" customHeight="1">
      <c r="A1" s="7" t="inlineStr">
        <is>
          <t>Site Key</t>
        </is>
      </c>
      <c r="B1" s="7" t="inlineStr">
        <is>
          <t>Product Key</t>
        </is>
      </c>
      <c r="C1" s="7" t="inlineStr">
        <is>
          <t>Role Key</t>
        </is>
      </c>
      <c r="D1" s="7" t="inlineStr">
        <is>
          <t>Role Order</t>
        </is>
      </c>
      <c r="E1" s="7" t="inlineStr">
        <is>
          <t>Role (EN)</t>
        </is>
      </c>
      <c r="F1" s="7" t="inlineStr">
        <is>
          <t>Role (AR)</t>
        </is>
      </c>
      <c r="G1" s="7" t="inlineStr">
        <is>
          <t>Track Order</t>
        </is>
      </c>
      <c r="H1" s="7" t="inlineStr">
        <is>
          <t>Track (EN)</t>
        </is>
      </c>
      <c r="I1" s="7" t="inlineStr">
        <is>
          <t>Track (AR)</t>
        </is>
      </c>
      <c r="J1" s="7" t="inlineStr">
        <is>
          <t>Description (EN)</t>
        </is>
      </c>
      <c r="K1" s="7" t="inlineStr">
        <is>
          <t>Description (AR)</t>
        </is>
      </c>
      <c r="L1" s="7" t="inlineStr">
        <is>
          <t>Level</t>
        </is>
      </c>
      <c r="M1" s="7" t="inlineStr">
        <is>
          <t>Modules</t>
        </is>
      </c>
      <c r="N1" s="7" t="inlineStr">
        <is>
          <t>Minutes</t>
        </is>
      </c>
      <c r="O1" s="7" t="inlineStr">
        <is>
          <t>Course Link</t>
        </is>
      </c>
      <c r="P1" s="7" t="inlineStr">
        <is>
          <t>Manual Link</t>
        </is>
      </c>
      <c r="Q1" s="7" t="inlineStr">
        <is>
          <t>Status</t>
        </is>
      </c>
      <c r="R1" s="7" t="inlineStr">
        <is>
          <t>Plan Link</t>
        </is>
      </c>
    </row>
    <row r="2" ht="63.75" customHeight="1">
      <c r="A2" s="8" t="inlineStr">
        <is>
          <t>lms-01</t>
        </is>
      </c>
      <c r="B2" s="8" t="inlineStr">
        <is>
          <t>lms</t>
        </is>
      </c>
      <c r="C2" s="8" t="inlineStr">
        <is>
          <t>teacher</t>
        </is>
      </c>
      <c r="D2" s="9" t="n">
        <v>10</v>
      </c>
      <c r="E2" s="9" t="inlineStr">
        <is>
          <t>Teacher</t>
        </is>
      </c>
      <c r="F2" s="9" t="inlineStr">
        <is>
          <t>معلم</t>
        </is>
      </c>
      <c r="G2" s="9" t="n">
        <v>10</v>
      </c>
      <c r="H2" s="10" t="inlineStr">
        <is>
          <t>LMS Essentials for Teachers</t>
        </is>
      </c>
      <c r="I2" s="10" t="inlineStr">
        <is>
          <t>أساسيات LMS للمعلم</t>
        </is>
      </c>
      <c r="J2" s="10" t="inlineStr">
        <is>
          <t>Build your class, upload content, schedule sessions and track attendance.</t>
        </is>
      </c>
      <c r="K2" s="10" t="inlineStr">
        <is>
          <t>إنشاء الفصل، رفع المحتوى، جدولة الحصص، ومتابعة الحضور.</t>
        </is>
      </c>
      <c r="L2" s="9" t="inlineStr">
        <is>
          <t>Essential</t>
        </is>
      </c>
      <c r="M2" s="9" t="n">
        <v>1</v>
      </c>
      <c r="N2" s="9" t="n">
        <v>55</v>
      </c>
      <c r="O2" s="10" t="inlineStr">
        <is>
          <t>https://elearning.classera.com/lectures-list/?course_title=Teachers%20Account%20|%20AY26&amp;course_type=2&amp;c=eyJjb3Vyc2VfaWQiOiIxMjIzNjEifQ</t>
        </is>
      </c>
      <c r="P2" s="10" t="inlineStr">
        <is>
          <t>https://manual.classera.com/docs-category/teacher-account/</t>
        </is>
      </c>
      <c r="Q2" s="9" t="inlineStr">
        <is>
          <t>Live</t>
        </is>
      </c>
    </row>
    <row r="3" ht="25.5" customHeight="1">
      <c r="A3" s="8" t="inlineStr">
        <is>
          <t>lms-02</t>
        </is>
      </c>
      <c r="B3" s="8" t="inlineStr">
        <is>
          <t>lms</t>
        </is>
      </c>
      <c r="C3" s="8" t="inlineStr">
        <is>
          <t>teacher</t>
        </is>
      </c>
      <c r="D3" s="12" t="n">
        <v>10</v>
      </c>
      <c r="E3" s="12" t="inlineStr">
        <is>
          <t>Teacher</t>
        </is>
      </c>
      <c r="F3" s="12" t="inlineStr">
        <is>
          <t>معلم</t>
        </is>
      </c>
      <c r="G3" s="12" t="n">
        <v>20</v>
      </c>
      <c r="H3" s="10" t="inlineStr">
        <is>
          <t>Assessment and Grading</t>
        </is>
      </c>
      <c r="I3" s="10" t="inlineStr">
        <is>
          <t>التقييم والدرجات</t>
        </is>
      </c>
      <c r="J3" s="10" t="inlineStr">
        <is>
          <t>Question banks, online exams, auto-grading and performance reports.</t>
        </is>
      </c>
      <c r="K3" s="10" t="inlineStr">
        <is>
          <t>بنوك الأسئلة، الاختبارات الإلكترونية، الرصد التلقائي، وتقارير الأداء.</t>
        </is>
      </c>
      <c r="L3" s="12" t="inlineStr">
        <is>
          <t>Core</t>
        </is>
      </c>
      <c r="M3" s="12" t="n">
        <v>1</v>
      </c>
      <c r="N3" s="12" t="n">
        <v>90</v>
      </c>
      <c r="O3" s="10" t="n"/>
      <c r="P3" s="10" t="inlineStr">
        <is>
          <t>https://manual.classera.com/docs-category/grade-management-teacher/</t>
        </is>
      </c>
      <c r="Q3" s="12" t="inlineStr">
        <is>
          <t>Live</t>
        </is>
      </c>
    </row>
    <row r="4" ht="63.75" customHeight="1">
      <c r="A4" s="8" t="inlineStr">
        <is>
          <t>lms-03</t>
        </is>
      </c>
      <c r="B4" s="8" t="inlineStr">
        <is>
          <t>lms</t>
        </is>
      </c>
      <c r="C4" s="8" t="inlineStr">
        <is>
          <t>leader</t>
        </is>
      </c>
      <c r="D4" s="9" t="n">
        <v>20</v>
      </c>
      <c r="E4" s="9" t="inlineStr">
        <is>
          <t>School Leader</t>
        </is>
      </c>
      <c r="F4" s="9" t="inlineStr">
        <is>
          <t>قائد مدرسة</t>
        </is>
      </c>
      <c r="G4" s="9" t="n">
        <v>10</v>
      </c>
      <c r="H4" s="10" t="inlineStr">
        <is>
          <t>Leadership Dashboards</t>
        </is>
      </c>
      <c r="I4" s="10" t="inlineStr">
        <is>
          <t>لوحات المتابعة للقيادة المدرسية</t>
        </is>
      </c>
      <c r="J4" s="10" t="inlineStr">
        <is>
          <t>Read usage KPIs, monitor teacher activity and make data-driven decisions.</t>
        </is>
      </c>
      <c r="K4" s="10" t="inlineStr">
        <is>
          <t>قراءة مؤشرات الاستخدام، متابعة أداء المعلمين، واتخاذ قرار مبني على البيانات.</t>
        </is>
      </c>
      <c r="L4" s="9" t="inlineStr">
        <is>
          <t>Core</t>
        </is>
      </c>
      <c r="M4" s="9" t="n">
        <v>1</v>
      </c>
      <c r="N4" s="9" t="n">
        <v>75</v>
      </c>
      <c r="O4" s="10" t="inlineStr">
        <is>
          <t>https://elearning.classera.com/lectures-list/?course_title=Manager%20Account%20|%20AY26&amp;course_type=2&amp;c=eyJjb3Vyc2VfaWQiOiIxMjI0MDcifQ</t>
        </is>
      </c>
      <c r="P4" s="10" t="inlineStr">
        <is>
          <t>https://manual.classera.com/docs-category/manager-account/</t>
        </is>
      </c>
      <c r="Q4" s="9" t="inlineStr">
        <is>
          <t>Live</t>
        </is>
      </c>
    </row>
    <row r="5" ht="25.5" customHeight="1">
      <c r="A5" s="8" t="inlineStr">
        <is>
          <t>lms-04</t>
        </is>
      </c>
      <c r="B5" s="8" t="inlineStr">
        <is>
          <t>lms</t>
        </is>
      </c>
      <c r="C5" s="8" t="inlineStr">
        <is>
          <t>student</t>
        </is>
      </c>
      <c r="D5" s="12" t="n">
        <v>30</v>
      </c>
      <c r="E5" s="12" t="inlineStr">
        <is>
          <t>Student</t>
        </is>
      </c>
      <c r="F5" s="12" t="inlineStr">
        <is>
          <t>طالب</t>
        </is>
      </c>
      <c r="G5" s="12" t="n">
        <v>10</v>
      </c>
      <c r="H5" s="10" t="inlineStr">
        <is>
          <t>Student Quick Start</t>
        </is>
      </c>
      <c r="I5" s="10" t="inlineStr">
        <is>
          <t>دليل الطالب للبدء</t>
        </is>
      </c>
      <c r="J5" s="10" t="inlineStr">
        <is>
          <t>Sign in, assignments, quizzes and reaching your teacher.</t>
        </is>
      </c>
      <c r="K5" s="10" t="inlineStr">
        <is>
          <t>الدخول، الواجبات، الاختبارات، والتواصل مع المعلم.</t>
        </is>
      </c>
      <c r="L5" s="12" t="inlineStr">
        <is>
          <t>Essential</t>
        </is>
      </c>
      <c r="M5" s="12" t="n"/>
      <c r="N5" s="12" t="n"/>
      <c r="O5" s="10" t="n"/>
      <c r="P5" s="10" t="inlineStr">
        <is>
          <t>https://manual.classera.com/docs-category/student-account/</t>
        </is>
      </c>
      <c r="Q5" s="12" t="inlineStr">
        <is>
          <t>Coming soon</t>
        </is>
      </c>
    </row>
    <row r="6" ht="25.5" customHeight="1">
      <c r="A6" s="8" t="inlineStr">
        <is>
          <t>lms-05</t>
        </is>
      </c>
      <c r="B6" s="8" t="inlineStr">
        <is>
          <t>lms</t>
        </is>
      </c>
      <c r="C6" s="8" t="inlineStr">
        <is>
          <t>parent</t>
        </is>
      </c>
      <c r="D6" s="9" t="n">
        <v>40</v>
      </c>
      <c r="E6" s="9" t="inlineStr">
        <is>
          <t>Parent</t>
        </is>
      </c>
      <c r="F6" s="9" t="inlineStr">
        <is>
          <t>ولي أمر</t>
        </is>
      </c>
      <c r="G6" s="9" t="n">
        <v>10</v>
      </c>
      <c r="H6" s="10" t="inlineStr">
        <is>
          <t>Parent Quick Start</t>
        </is>
      </c>
      <c r="I6" s="10" t="inlineStr">
        <is>
          <t>دليل ولي الأمر</t>
        </is>
      </c>
      <c r="J6" s="10" t="inlineStr">
        <is>
          <t>Follow attendance, grades and school communication from the app.</t>
        </is>
      </c>
      <c r="K6" s="10" t="inlineStr">
        <is>
          <t>متابعة الحضور والدرجات والتواصل مع المدرسة من التطبيق.</t>
        </is>
      </c>
      <c r="L6" s="9" t="inlineStr">
        <is>
          <t>Essential</t>
        </is>
      </c>
      <c r="M6" s="9" t="n"/>
      <c r="N6" s="9" t="n"/>
      <c r="O6" s="10" t="n"/>
      <c r="P6" s="10" t="inlineStr">
        <is>
          <t>https://manual.classera.com/docs-category/parent-account/</t>
        </is>
      </c>
      <c r="Q6" s="12" t="inlineStr">
        <is>
          <t>Coming soon</t>
        </is>
      </c>
    </row>
    <row r="7" ht="90" customHeight="1">
      <c r="A7" s="8" t="inlineStr">
        <is>
          <t>lms-06</t>
        </is>
      </c>
      <c r="B7" s="8" t="inlineStr">
        <is>
          <t>lms</t>
        </is>
      </c>
      <c r="C7" s="8" t="inlineStr">
        <is>
          <t>itadmin</t>
        </is>
      </c>
      <c r="D7" s="12" t="n">
        <v>50</v>
      </c>
      <c r="E7" s="12" t="inlineStr">
        <is>
          <t>System Admin</t>
        </is>
      </c>
      <c r="F7" s="12" t="inlineStr">
        <is>
          <t>مسؤول النظام</t>
        </is>
      </c>
      <c r="G7" s="12" t="n">
        <v>10</v>
      </c>
      <c r="H7" s="10" t="inlineStr">
        <is>
          <t>Platform Setup and Administration</t>
        </is>
      </c>
      <c r="I7" s="10" t="inlineStr">
        <is>
          <t>إعداد وإدارة المنصة</t>
        </is>
      </c>
      <c r="J7" s="10" t="inlineStr">
        <is>
          <t>Account structure, roles and permissions, bulk import and integrations.</t>
        </is>
      </c>
      <c r="K7" s="10" t="inlineStr">
        <is>
          <t>هيكلة الحسابات، الأدوار والصلاحيات، الاستيراد الجماعي، والتكاملات.</t>
        </is>
      </c>
      <c r="L7" s="12" t="inlineStr">
        <is>
          <t>Advanced</t>
        </is>
      </c>
      <c r="M7" s="12" t="n">
        <v>1</v>
      </c>
      <c r="N7" s="12" t="n">
        <v>90</v>
      </c>
      <c r="O7" s="20" t="inlineStr">
        <is>
          <t>https://elearning.classera.com/lectures-list/?course_title=Administrator%20Account%20|%20AY26&amp;course_type=2&amp;c=eyJjb3Vyc2VfaWQiOiIxMjIzNjIifQ</t>
        </is>
      </c>
      <c r="P7" s="10" t="inlineStr">
        <is>
          <t>https://manual.classera.com/docs-category/administrator-account/</t>
        </is>
      </c>
      <c r="Q7" s="12" t="inlineStr">
        <is>
          <t>Live</t>
        </is>
      </c>
    </row>
    <row r="8" ht="90" customHeight="1">
      <c r="A8" s="8" t="inlineStr">
        <is>
          <t>lms-07</t>
        </is>
      </c>
      <c r="B8" s="8" t="inlineStr">
        <is>
          <t>lms</t>
        </is>
      </c>
      <c r="C8" s="8" t="inlineStr">
        <is>
          <t>tsupervisor</t>
        </is>
      </c>
      <c r="D8" s="12" t="n">
        <v>22</v>
      </c>
      <c r="E8" s="12" t="inlineStr">
        <is>
          <t>Teacher Supervisor</t>
        </is>
      </c>
      <c r="F8" s="12" t="inlineStr">
        <is>
          <t>مشرف تربوي</t>
        </is>
      </c>
      <c r="G8" s="12" t="n">
        <v>10</v>
      </c>
      <c r="H8" s="10" t="inlineStr">
        <is>
          <t>Supervising Teaching Quality</t>
        </is>
      </c>
      <c r="I8" s="10" t="inlineStr">
        <is>
          <t>متابعة جودة التدريس</t>
        </is>
      </c>
      <c r="J8" s="10" t="inlineStr">
        <is>
          <t>Follow teacher activity, review lessons and assessments, and give data-based feedback.</t>
        </is>
      </c>
      <c r="K8" s="10" t="inlineStr">
        <is>
          <t>متابعة نشاط المعلمين، مراجعة الدروس والتقييمات، وتقديم تغذية راجعة مبنية على البيانات.</t>
        </is>
      </c>
      <c r="L8" s="12" t="inlineStr">
        <is>
          <t>Core</t>
        </is>
      </c>
      <c r="M8" s="12" t="n"/>
      <c r="N8" s="12" t="n"/>
      <c r="O8" s="10" t="n"/>
      <c r="P8" s="10" t="n"/>
      <c r="Q8" s="12" t="inlineStr">
        <is>
          <t>Coming soon</t>
        </is>
      </c>
    </row>
    <row r="9" ht="90" customHeight="1">
      <c r="A9" s="8" t="inlineStr">
        <is>
          <t>lms-08</t>
        </is>
      </c>
      <c r="B9" s="8" t="inlineStr">
        <is>
          <t>lms</t>
        </is>
      </c>
      <c r="C9" s="8" t="inlineStr">
        <is>
          <t>floorsup</t>
        </is>
      </c>
      <c r="D9" s="12" t="n">
        <v>24</v>
      </c>
      <c r="E9" s="12" t="inlineStr">
        <is>
          <t>Floor Supervisor &amp; Advisor</t>
        </is>
      </c>
      <c r="F9" s="12" t="inlineStr">
        <is>
          <t>مشرف الدور والمرشد الطلابي</t>
        </is>
      </c>
      <c r="G9" s="12" t="n">
        <v>10</v>
      </c>
      <c r="H9" s="10" t="inlineStr">
        <is>
          <t>Student Follow-up and Guidance</t>
        </is>
      </c>
      <c r="I9" s="10" t="inlineStr">
        <is>
          <t>متابعة الطلاب والإرشاد</t>
        </is>
      </c>
      <c r="J9" s="10" t="inlineStr">
        <is>
          <t>Track attendance and behavior, record student notes and communicate with parents.</t>
        </is>
      </c>
      <c r="K9" s="10" t="inlineStr">
        <is>
          <t>متابعة الحضور والسلوك، تسجيل ملاحظات الطلاب، والتواصل مع أولياء الأمور.</t>
        </is>
      </c>
      <c r="L9" s="12" t="inlineStr">
        <is>
          <t>Essential</t>
        </is>
      </c>
      <c r="M9" s="12" t="n"/>
      <c r="N9" s="12" t="n"/>
      <c r="O9" s="10" t="n"/>
      <c r="P9" s="10" t="n"/>
      <c r="Q9" s="12" t="inlineStr">
        <is>
          <t>Coming soon</t>
        </is>
      </c>
    </row>
    <row r="10" ht="90" customHeight="1">
      <c r="A10" s="8" t="inlineStr">
        <is>
          <t>lms-09</t>
        </is>
      </c>
      <c r="B10" s="8" t="inlineStr">
        <is>
          <t>lms</t>
        </is>
      </c>
      <c r="C10" s="8" t="inlineStr">
        <is>
          <t>teacher</t>
        </is>
      </c>
      <c r="D10" s="12" t="n">
        <v>10</v>
      </c>
      <c r="E10" s="12" t="inlineStr">
        <is>
          <t>Teacher</t>
        </is>
      </c>
      <c r="F10" s="12" t="inlineStr">
        <is>
          <t>معلم</t>
        </is>
      </c>
      <c r="G10" s="12" t="n">
        <v>30</v>
      </c>
      <c r="H10" s="10" t="inlineStr">
        <is>
          <t>Classera Teacher Accreditation</t>
        </is>
      </c>
      <c r="I10" s="10" t="inlineStr">
        <is>
          <t>اعتماد المعلم من كلاسيرا</t>
        </is>
      </c>
      <c r="J10" s="10" t="inlineStr">
        <is>
          <t>Get accredited from User to Expert level: review the criteria, apply, sit the exam and earn a 3-year certificate.</t>
        </is>
      </c>
      <c r="K10" s="10" t="inlineStr">
        <is>
          <t>احصل على اعتمادك من مستوى مستخدم إلى خبير: راجع المعايير، قدّم طلبك، اجتز الاختبار، واحصل على شهادة صالحة لثلاث سنوات.</t>
        </is>
      </c>
      <c r="L10" s="12" t="inlineStr">
        <is>
          <t>Advanced</t>
        </is>
      </c>
      <c r="M10" s="12" t="n"/>
      <c r="N10" s="12" t="n"/>
      <c r="O10" s="20" t="inlineStr">
        <is>
          <t>https://accreditation.classera.com/</t>
        </is>
      </c>
      <c r="P10" s="10" t="n"/>
      <c r="Q10" s="12" t="inlineStr">
        <is>
          <t>Live</t>
        </is>
      </c>
      <c r="R10" s="10" t="inlineStr">
        <is>
          <t>https://plans.classera.com/#acc</t>
        </is>
      </c>
    </row>
    <row r="11" ht="90" customHeight="1">
      <c r="A11" s="8" t="inlineStr">
        <is>
          <t>lms-10</t>
        </is>
      </c>
      <c r="B11" s="8" t="inlineStr">
        <is>
          <t>lms</t>
        </is>
      </c>
      <c r="C11" s="8" t="inlineStr">
        <is>
          <t>itadmin</t>
        </is>
      </c>
      <c r="D11" s="12" t="n">
        <v>50</v>
      </c>
      <c r="E11" s="12" t="inlineStr">
        <is>
          <t>System Admin</t>
        </is>
      </c>
      <c r="F11" s="12" t="inlineStr">
        <is>
          <t>مسؤول النظام</t>
        </is>
      </c>
      <c r="G11" s="12" t="n">
        <v>20</v>
      </c>
      <c r="H11" s="10" t="inlineStr">
        <is>
          <t>System Manager Accreditation</t>
        </is>
      </c>
      <c r="I11" s="10" t="inlineStr">
        <is>
          <t>اعتماد مدير النظام</t>
        </is>
      </c>
      <c r="J11" s="10" t="inlineStr">
        <is>
          <t>Get accredited as a System Manager, from Practitioner to Professional level, through criteria review, application and exam.</t>
        </is>
      </c>
      <c r="K11" s="10" t="inlineStr">
        <is>
          <t>احصل على اعتماد مدير النظام من مستوى ممارس إلى محترف عبر مراجعة المعايير، تقديم الطلب، واجتياز الاختبار.</t>
        </is>
      </c>
      <c r="L11" s="12" t="inlineStr">
        <is>
          <t>Advanced</t>
        </is>
      </c>
      <c r="M11" s="12" t="n"/>
      <c r="N11" s="12" t="n"/>
      <c r="O11" s="20" t="inlineStr">
        <is>
          <t>https://accreditation.classera.com/</t>
        </is>
      </c>
      <c r="P11" s="10" t="n"/>
      <c r="Q11" s="12" t="inlineStr">
        <is>
          <t>Live</t>
        </is>
      </c>
      <c r="R11" s="10" t="inlineStr">
        <is>
          <t>https://plans.classera.com/#acc</t>
        </is>
      </c>
    </row>
    <row r="12" ht="25.5" customHeight="1">
      <c r="A12" s="8" t="inlineStr">
        <is>
          <t>tms-01</t>
        </is>
      </c>
      <c r="B12" s="8" t="inlineStr">
        <is>
          <t>tms</t>
        </is>
      </c>
      <c r="C12" s="8" t="inlineStr">
        <is>
          <t>trmanager</t>
        </is>
      </c>
      <c r="D12" s="9" t="n">
        <v>10</v>
      </c>
      <c r="E12" s="9" t="inlineStr">
        <is>
          <t>Training Manager</t>
        </is>
      </c>
      <c r="F12" s="9" t="inlineStr">
        <is>
          <t>مدير التدريب</t>
        </is>
      </c>
      <c r="G12" s="9" t="n">
        <v>10</v>
      </c>
      <c r="H12" s="10" t="inlineStr">
        <is>
          <t>Academy Style &amp; Settings</t>
        </is>
      </c>
      <c r="I12" s="10" t="inlineStr">
        <is>
          <t>نمط الأكاديمية وإعداداتها</t>
        </is>
      </c>
      <c r="J12" s="10" t="inlineStr">
        <is>
          <t>Set up your academy's look and feel and its core platform settings.</t>
        </is>
      </c>
      <c r="K12" s="10" t="inlineStr">
        <is>
          <t>تجهيز الهوية البصرية للأكاديمية وضبط إعدادات المنصة الأساسية.</t>
        </is>
      </c>
      <c r="L12" s="9" t="inlineStr">
        <is>
          <t>Essential</t>
        </is>
      </c>
      <c r="M12" s="9" t="n"/>
      <c r="N12" s="9" t="n"/>
      <c r="O12" s="10" t="inlineStr">
        <is>
          <t>https://leadxeratraining.classera.com/lectures-list/?course_title=TMS%20|%20Academy%20Style%20%26%20Settings&amp;course_type=1&amp;c=eyJjb3Vyc2VfaWQiOiIxMjgzMTkifQ</t>
        </is>
      </c>
      <c r="P12" s="10" t="inlineStr">
        <is>
          <t>https://usermanual.leadxera.com/docs/styles-and-academy-settings/</t>
        </is>
      </c>
      <c r="Q12" s="12" t="inlineStr">
        <is>
          <t>Live</t>
        </is>
      </c>
    </row>
    <row r="13" ht="25.5" customHeight="1">
      <c r="A13" s="8" t="inlineStr">
        <is>
          <t>tms-02</t>
        </is>
      </c>
      <c r="B13" s="8" t="inlineStr">
        <is>
          <t>tms</t>
        </is>
      </c>
      <c r="C13" s="8" t="inlineStr">
        <is>
          <t>trmanager</t>
        </is>
      </c>
      <c r="D13" s="12" t="n">
        <v>10</v>
      </c>
      <c r="E13" s="12" t="inlineStr">
        <is>
          <t>Training Manager</t>
        </is>
      </c>
      <c r="F13" s="12" t="inlineStr">
        <is>
          <t>مدير التدريب</t>
        </is>
      </c>
      <c r="G13" s="12" t="n">
        <v>20</v>
      </c>
      <c r="H13" s="10" t="inlineStr">
        <is>
          <t>User Management</t>
        </is>
      </c>
      <c r="I13" s="10" t="inlineStr">
        <is>
          <t>إدارة المستخدمين</t>
        </is>
      </c>
      <c r="J13" s="10" t="inlineStr">
        <is>
          <t>Add and manage corporates, trainers and trainees, and control their access.</t>
        </is>
      </c>
      <c r="K13" s="10" t="inlineStr">
        <is>
          <t>إضافة وإدارة الجهات المؤسسية والمدربين والمتدربين والتحكم في صلاحياتهم.</t>
        </is>
      </c>
      <c r="L13" s="12" t="inlineStr">
        <is>
          <t>Essential</t>
        </is>
      </c>
      <c r="M13" s="12" t="n"/>
      <c r="N13" s="12" t="n"/>
      <c r="O13" s="10" t="inlineStr">
        <is>
          <t>https://leadxeratraining.classera.com/lectures-list/?course_title=TMS%20|%20User%20Management%20(Instance%201)&amp;course_type=1&amp;c=eyJjb3Vyc2VfaWQiOiIxMjgzMTcifQ</t>
        </is>
      </c>
      <c r="P13" s="10" t="inlineStr">
        <is>
          <t>https://usermanual.leadxera.com/docs/manage-users-2/</t>
        </is>
      </c>
      <c r="Q13" s="12" t="inlineStr">
        <is>
          <t>Live</t>
        </is>
      </c>
    </row>
    <row r="14" ht="25.5" customHeight="1">
      <c r="A14" s="8" t="inlineStr">
        <is>
          <t>tms-03</t>
        </is>
      </c>
      <c r="B14" s="8" t="inlineStr">
        <is>
          <t>tms</t>
        </is>
      </c>
      <c r="C14" s="8" t="inlineStr">
        <is>
          <t>instructor</t>
        </is>
      </c>
      <c r="D14" s="9" t="n">
        <v>20</v>
      </c>
      <c r="E14" s="9" t="inlineStr">
        <is>
          <t>Trainer</t>
        </is>
      </c>
      <c r="F14" s="9" t="inlineStr">
        <is>
          <t>مدرب</t>
        </is>
      </c>
      <c r="G14" s="9" t="n">
        <v>10</v>
      </c>
      <c r="H14" s="10" t="inlineStr">
        <is>
          <t>Trainer Guide</t>
        </is>
      </c>
      <c r="I14" s="10" t="inlineStr">
        <is>
          <t>دليل المدرب</t>
        </is>
      </c>
      <c r="J14" s="10" t="inlineStr">
        <is>
          <t>Run the session, mark attendance, deliver materials and assess trainees.</t>
        </is>
      </c>
      <c r="K14" s="10" t="inlineStr">
        <is>
          <t>إدارة الجلسة، رصد الحضور، تسليم المواد، وتقييم المتدربين.</t>
        </is>
      </c>
      <c r="L14" s="9" t="inlineStr">
        <is>
          <t>Essential</t>
        </is>
      </c>
      <c r="M14" s="9" t="n">
        <v>1</v>
      </c>
      <c r="N14" s="9" t="n">
        <v>60</v>
      </c>
      <c r="O14" s="10" t="n"/>
      <c r="P14" s="10" t="inlineStr">
        <is>
          <t>https://usermanual.leadxera.com/docs-category/trainer/</t>
        </is>
      </c>
      <c r="Q14" s="12" t="inlineStr">
        <is>
          <t>Coming soon</t>
        </is>
      </c>
    </row>
    <row r="15" ht="25.5" customHeight="1">
      <c r="A15" s="8" t="inlineStr">
        <is>
          <t>tms-04</t>
        </is>
      </c>
      <c r="B15" s="8" t="inlineStr">
        <is>
          <t>tms</t>
        </is>
      </c>
      <c r="C15" s="8" t="inlineStr">
        <is>
          <t>trainee</t>
        </is>
      </c>
      <c r="D15" s="12" t="n">
        <v>30</v>
      </c>
      <c r="E15" s="12" t="inlineStr">
        <is>
          <t>Trainee</t>
        </is>
      </c>
      <c r="F15" s="12" t="inlineStr">
        <is>
          <t>متدرب</t>
        </is>
      </c>
      <c r="G15" s="12" t="n">
        <v>10</v>
      </c>
      <c r="H15" s="10" t="inlineStr">
        <is>
          <t>Trainee Guide</t>
        </is>
      </c>
      <c r="I15" s="10" t="inlineStr">
        <is>
          <t>دليل المتدرب</t>
        </is>
      </c>
      <c r="J15" s="10" t="inlineStr">
        <is>
          <t>Enroll in programs, track progress and download your certificate.</t>
        </is>
      </c>
      <c r="K15" s="10" t="inlineStr">
        <is>
          <t>التسجيل في البرامج، متابعة التقدم، وتحميل الشهادة.</t>
        </is>
      </c>
      <c r="L15" s="12" t="inlineStr">
        <is>
          <t>Essential</t>
        </is>
      </c>
      <c r="M15" s="12" t="n">
        <v>1</v>
      </c>
      <c r="N15" s="12" t="n">
        <v>60</v>
      </c>
      <c r="O15" s="10" t="n"/>
      <c r="P15" s="10" t="inlineStr">
        <is>
          <t>https://usermanual.leadxera.com/docs-category/trainees/</t>
        </is>
      </c>
      <c r="Q15" s="12" t="inlineStr">
        <is>
          <t>Coming soon</t>
        </is>
      </c>
    </row>
    <row r="16" ht="25.5" customHeight="1">
      <c r="A16" s="8" t="inlineStr">
        <is>
          <t>tms-05</t>
        </is>
      </c>
      <c r="B16" s="8" t="inlineStr">
        <is>
          <t>tms</t>
        </is>
      </c>
      <c r="C16" s="8" t="inlineStr">
        <is>
          <t>corporate</t>
        </is>
      </c>
      <c r="D16" s="9" t="n">
        <v>40</v>
      </c>
      <c r="E16" s="9" t="inlineStr">
        <is>
          <t>Corporate</t>
        </is>
      </c>
      <c r="F16" s="9" t="inlineStr">
        <is>
          <t>جهة مؤسسية</t>
        </is>
      </c>
      <c r="G16" s="9" t="n">
        <v>10</v>
      </c>
      <c r="H16" s="10" t="inlineStr">
        <is>
          <t>Managing Your People</t>
        </is>
      </c>
      <c r="I16" s="10" t="inlineStr">
        <is>
          <t>إدارة منسوبيك</t>
        </is>
      </c>
      <c r="J16" s="10" t="inlineStr">
        <is>
          <t>Enroll your team, follow progress and pull enrollment reports.</t>
        </is>
      </c>
      <c r="K16" s="10" t="inlineStr">
        <is>
          <t>تسجيل فريقك، متابعة التقدم، واستخراج تقارير التسجيل.</t>
        </is>
      </c>
      <c r="L16" s="9" t="inlineStr">
        <is>
          <t>Core</t>
        </is>
      </c>
      <c r="M16" s="9" t="n">
        <v>1</v>
      </c>
      <c r="N16" s="9" t="n">
        <v>60</v>
      </c>
      <c r="O16" s="10" t="n"/>
      <c r="P16" s="10" t="inlineStr">
        <is>
          <t>https://usermanual.leadxera.com/docs-category/corporate/</t>
        </is>
      </c>
      <c r="Q16" s="12" t="inlineStr">
        <is>
          <t>Coming soon</t>
        </is>
      </c>
    </row>
    <row r="17" ht="25.5" customHeight="1">
      <c r="A17" s="8" t="inlineStr">
        <is>
          <t>erp-01</t>
        </is>
      </c>
      <c r="B17" s="8" t="inlineStr">
        <is>
          <t>erp</t>
        </is>
      </c>
      <c r="C17" s="8" t="inlineStr">
        <is>
          <t>finance</t>
        </is>
      </c>
      <c r="D17" s="12" t="n">
        <v>10</v>
      </c>
      <c r="E17" s="12" t="inlineStr">
        <is>
          <t>Finance Manager</t>
        </is>
      </c>
      <c r="F17" s="12" t="inlineStr">
        <is>
          <t>مدير مالي</t>
        </is>
      </c>
      <c r="G17" s="12" t="n">
        <v>10</v>
      </c>
      <c r="H17" s="10" t="inlineStr">
        <is>
          <t>Core Finance Cycle</t>
        </is>
      </c>
      <c r="I17" s="10" t="inlineStr">
        <is>
          <t>الدورة المالية الأساسية</t>
        </is>
      </c>
      <c r="J17" s="10" t="inlineStr">
        <is>
          <t>Tuition fees, invoicing, collections and financial reporting.</t>
        </is>
      </c>
      <c r="K17" s="10" t="inlineStr">
        <is>
          <t>الرسوم الدراسية، الفوترة، التحصيل، والتقارير المالية.</t>
        </is>
      </c>
      <c r="L17" s="12" t="inlineStr">
        <is>
          <t>Essential</t>
        </is>
      </c>
      <c r="M17" s="12" t="n">
        <v>1</v>
      </c>
      <c r="N17" s="12" t="n">
        <v>60</v>
      </c>
      <c r="O17" s="10" t="n"/>
      <c r="P17" s="10" t="n"/>
      <c r="Q17" s="12" t="inlineStr">
        <is>
          <t>Coming soon</t>
        </is>
      </c>
    </row>
    <row r="18" ht="25.5" customHeight="1">
      <c r="A18" s="8" t="inlineStr">
        <is>
          <t>erp-02</t>
        </is>
      </c>
      <c r="B18" s="8" t="inlineStr">
        <is>
          <t>erp</t>
        </is>
      </c>
      <c r="C18" s="8" t="inlineStr">
        <is>
          <t>finance</t>
        </is>
      </c>
      <c r="D18" s="9" t="n">
        <v>10</v>
      </c>
      <c r="E18" s="9" t="inlineStr">
        <is>
          <t>Finance Manager</t>
        </is>
      </c>
      <c r="F18" s="9" t="inlineStr">
        <is>
          <t>مدير مالي</t>
        </is>
      </c>
      <c r="G18" s="9" t="n">
        <v>20</v>
      </c>
      <c r="H18" s="10" t="inlineStr">
        <is>
          <t>Budgeting and Financial Analysis</t>
        </is>
      </c>
      <c r="I18" s="10" t="inlineStr">
        <is>
          <t>الموازنات والتحليل المالي</t>
        </is>
      </c>
      <c r="J18" s="10" t="inlineStr">
        <is>
          <t>Build budgets, compare plan vs actual and analyze variances.</t>
        </is>
      </c>
      <c r="K18" s="10" t="inlineStr">
        <is>
          <t>بناء الموازنة، مقارنة المخطط بالفعلي، وتحليل الانحرافات.</t>
        </is>
      </c>
      <c r="L18" s="9" t="inlineStr">
        <is>
          <t>Advanced</t>
        </is>
      </c>
      <c r="M18" s="9" t="n">
        <v>1</v>
      </c>
      <c r="N18" s="9" t="n">
        <v>60</v>
      </c>
      <c r="O18" s="10" t="n"/>
      <c r="P18" s="10" t="n"/>
      <c r="Q18" s="12" t="inlineStr">
        <is>
          <t>Coming soon</t>
        </is>
      </c>
    </row>
    <row r="19" ht="25.5" customHeight="1">
      <c r="A19" s="8" t="inlineStr">
        <is>
          <t>erp-03</t>
        </is>
      </c>
      <c r="B19" s="8" t="inlineStr">
        <is>
          <t>erp</t>
        </is>
      </c>
      <c r="C19" s="8" t="inlineStr">
        <is>
          <t>registrar</t>
        </is>
      </c>
      <c r="D19" s="12" t="n">
        <v>20</v>
      </c>
      <c r="E19" s="12" t="inlineStr">
        <is>
          <t>Registrar</t>
        </is>
      </c>
      <c r="F19" s="12" t="inlineStr">
        <is>
          <t>شؤون الطلاب</t>
        </is>
      </c>
      <c r="G19" s="12" t="n">
        <v>10</v>
      </c>
      <c r="H19" s="10" t="inlineStr">
        <is>
          <t>Admissions and Registration</t>
        </is>
      </c>
      <c r="I19" s="10" t="inlineStr">
        <is>
          <t>القبول والتسجيل</t>
        </is>
      </c>
      <c r="J19" s="10" t="inlineStr">
        <is>
          <t>Student file, enrollment, class allocation and official documents.</t>
        </is>
      </c>
      <c r="K19" s="10" t="inlineStr">
        <is>
          <t>ملف الطالب، التسجيل، توزيع الفصول، والوثائق الرسمية.</t>
        </is>
      </c>
      <c r="L19" s="12" t="inlineStr">
        <is>
          <t>Essential</t>
        </is>
      </c>
      <c r="M19" s="12" t="n">
        <v>1</v>
      </c>
      <c r="N19" s="12" t="n">
        <v>60</v>
      </c>
      <c r="O19" s="10" t="n"/>
      <c r="P19" s="10" t="n"/>
      <c r="Q19" s="12" t="inlineStr">
        <is>
          <t>Coming soon</t>
        </is>
      </c>
    </row>
    <row r="20" ht="25.5" customHeight="1">
      <c r="A20" s="8" t="inlineStr">
        <is>
          <t>erp-04</t>
        </is>
      </c>
      <c r="B20" s="8" t="inlineStr">
        <is>
          <t>erp</t>
        </is>
      </c>
      <c r="C20" s="8" t="inlineStr">
        <is>
          <t>hrofficer</t>
        </is>
      </c>
      <c r="D20" s="9" t="n">
        <v>30</v>
      </c>
      <c r="E20" s="9" t="inlineStr">
        <is>
          <t>HR Officer</t>
        </is>
      </c>
      <c r="F20" s="9" t="inlineStr">
        <is>
          <t>موظف موارد بشرية</t>
        </is>
      </c>
      <c r="G20" s="9" t="n">
        <v>10</v>
      </c>
      <c r="H20" s="10" t="inlineStr">
        <is>
          <t>HR Operations</t>
        </is>
      </c>
      <c r="I20" s="10" t="inlineStr">
        <is>
          <t>إدارة شؤون الموظفين</t>
        </is>
      </c>
      <c r="J20" s="10" t="inlineStr">
        <is>
          <t>Employee file, attendance and leave, and payroll.</t>
        </is>
      </c>
      <c r="K20" s="10" t="inlineStr">
        <is>
          <t>ملف الموظف، الحضور والإجازات، والرواتب.</t>
        </is>
      </c>
      <c r="L20" s="9" t="inlineStr">
        <is>
          <t>Core</t>
        </is>
      </c>
      <c r="M20" s="9" t="n">
        <v>1</v>
      </c>
      <c r="N20" s="9" t="n">
        <v>60</v>
      </c>
      <c r="O20" s="10" t="n"/>
      <c r="P20" s="10" t="inlineStr">
        <is>
          <t>https://usermanual.csmarx.com/docs-category/human-resources/</t>
        </is>
      </c>
      <c r="Q20" s="12" t="inlineStr">
        <is>
          <t>Coming soon</t>
        </is>
      </c>
    </row>
    <row r="21" ht="25.5" customHeight="1">
      <c r="A21" s="8" t="inlineStr">
        <is>
          <t>erp-05</t>
        </is>
      </c>
      <c r="B21" s="8" t="inlineStr">
        <is>
          <t>erp</t>
        </is>
      </c>
      <c r="C21" s="8" t="inlineStr">
        <is>
          <t>procure</t>
        </is>
      </c>
      <c r="D21" s="12" t="n">
        <v>40</v>
      </c>
      <c r="E21" s="12" t="inlineStr">
        <is>
          <t>Procurement</t>
        </is>
      </c>
      <c r="F21" s="12" t="inlineStr">
        <is>
          <t>المشتريات والمخازن</t>
        </is>
      </c>
      <c r="G21" s="12" t="n">
        <v>10</v>
      </c>
      <c r="H21" s="10" t="inlineStr">
        <is>
          <t>Procurement and Inventory</t>
        </is>
      </c>
      <c r="I21" s="10" t="inlineStr">
        <is>
          <t>المشتريات والمخزون</t>
        </is>
      </c>
      <c r="J21" s="10" t="inlineStr">
        <is>
          <t>Purchase orders, vendors, receiving and asset inventory.</t>
        </is>
      </c>
      <c r="K21" s="10" t="inlineStr">
        <is>
          <t>أوامر الشراء، الموردون، الاستلام، وجرد الأصول.</t>
        </is>
      </c>
      <c r="L21" s="12" t="inlineStr">
        <is>
          <t>Core</t>
        </is>
      </c>
      <c r="M21" s="12" t="n">
        <v>1</v>
      </c>
      <c r="N21" s="12" t="n">
        <v>60</v>
      </c>
      <c r="O21" s="10" t="n"/>
      <c r="P21" s="10" t="n"/>
      <c r="Q21" s="12" t="inlineStr">
        <is>
          <t>Coming soon</t>
        </is>
      </c>
    </row>
    <row r="22" ht="25.5" customHeight="1">
      <c r="A22" s="8" t="inlineStr">
        <is>
          <t>erp-06</t>
        </is>
      </c>
      <c r="B22" s="8" t="inlineStr">
        <is>
          <t>erp</t>
        </is>
      </c>
      <c r="C22" s="8" t="inlineStr">
        <is>
          <t>itadmin</t>
        </is>
      </c>
      <c r="D22" s="9" t="n">
        <v>50</v>
      </c>
      <c r="E22" s="9" t="inlineStr">
        <is>
          <t>System Admin</t>
        </is>
      </c>
      <c r="F22" s="9" t="inlineStr">
        <is>
          <t>مسؤول النظام</t>
        </is>
      </c>
      <c r="G22" s="9" t="n">
        <v>10</v>
      </c>
      <c r="H22" s="10" t="inlineStr">
        <is>
          <t>System Setup and Permissions</t>
        </is>
      </c>
      <c r="I22" s="10" t="inlineStr">
        <is>
          <t>إعداد النظام والصلاحيات</t>
        </is>
      </c>
      <c r="J22" s="10" t="inlineStr">
        <is>
          <t>Org structure, approval cycles and module-level permissions.</t>
        </is>
      </c>
      <c r="K22" s="10" t="inlineStr">
        <is>
          <t>الهيكل التنظيمي، دورات الاعتماد، والصلاحيات على مستوى الوحدة.</t>
        </is>
      </c>
      <c r="L22" s="9" t="inlineStr">
        <is>
          <t>Advanced</t>
        </is>
      </c>
      <c r="M22" s="9" t="n">
        <v>1</v>
      </c>
      <c r="N22" s="9" t="n">
        <v>60</v>
      </c>
      <c r="O22" s="10" t="n"/>
      <c r="P22" s="10" t="n"/>
      <c r="Q22" s="12" t="inlineStr">
        <is>
          <t>Coming soon</t>
        </is>
      </c>
    </row>
    <row r="23" ht="25.5" customHeight="1">
      <c r="A23" s="8" t="inlineStr">
        <is>
          <t>cpay-01</t>
        </is>
      </c>
      <c r="B23" s="8" t="inlineStr">
        <is>
          <t>cpay</t>
        </is>
      </c>
      <c r="C23" s="8" t="inlineStr">
        <is>
          <t>finofficer</t>
        </is>
      </c>
      <c r="D23" s="12" t="n">
        <v>10</v>
      </c>
      <c r="E23" s="12" t="inlineStr">
        <is>
          <t>Finance Officer</t>
        </is>
      </c>
      <c r="F23" s="12" t="inlineStr">
        <is>
          <t>موظف مالي</t>
        </is>
      </c>
      <c r="G23" s="12" t="n">
        <v>10</v>
      </c>
      <c r="H23" s="10" t="inlineStr">
        <is>
          <t>Activating Digital Collection</t>
        </is>
      </c>
      <c r="I23" s="10" t="inlineStr">
        <is>
          <t>تفعيل التحصيل الإلكتروني</t>
        </is>
      </c>
      <c r="J23" s="10" t="inlineStr">
        <is>
          <t>Link fees, issue payment links and run daily follow-up.</t>
        </is>
      </c>
      <c r="K23" s="10" t="inlineStr">
        <is>
          <t>ربط الرسوم، إصدار روابط الدفع، والمتابعة اليومية.</t>
        </is>
      </c>
      <c r="L23" s="12" t="inlineStr">
        <is>
          <t>Essential</t>
        </is>
      </c>
      <c r="M23" s="12" t="n">
        <v>1</v>
      </c>
      <c r="N23" s="12" t="n">
        <v>60</v>
      </c>
      <c r="O23" s="10" t="n"/>
      <c r="P23" s="10" t="inlineStr">
        <is>
          <t>https://manual.classera.com/docs-category/school-accountant/</t>
        </is>
      </c>
      <c r="Q23" s="12" t="inlineStr">
        <is>
          <t>Coming soon</t>
        </is>
      </c>
    </row>
    <row r="24" ht="25.5" customHeight="1">
      <c r="A24" s="8" t="inlineStr">
        <is>
          <t>cpay-02</t>
        </is>
      </c>
      <c r="B24" s="8" t="inlineStr">
        <is>
          <t>cpay</t>
        </is>
      </c>
      <c r="C24" s="8" t="inlineStr">
        <is>
          <t>finofficer</t>
        </is>
      </c>
      <c r="D24" s="9" t="n">
        <v>10</v>
      </c>
      <c r="E24" s="9" t="inlineStr">
        <is>
          <t>Finance Officer</t>
        </is>
      </c>
      <c r="F24" s="9" t="inlineStr">
        <is>
          <t>موظف مالي</t>
        </is>
      </c>
      <c r="G24" s="9" t="n">
        <v>20</v>
      </c>
      <c r="H24" s="10" t="inlineStr">
        <is>
          <t>Reconciliation and Reporting</t>
        </is>
      </c>
      <c r="I24" s="10" t="inlineStr">
        <is>
          <t>التسويات والتقارير</t>
        </is>
      </c>
      <c r="J24" s="10" t="inlineStr">
        <is>
          <t>Match payments, bank settlement and collection reports.</t>
        </is>
      </c>
      <c r="K24" s="10" t="inlineStr">
        <is>
          <t>مطابقة المدفوعات، التسويات البنكية، وتقارير التحصيل.</t>
        </is>
      </c>
      <c r="L24" s="9" t="inlineStr">
        <is>
          <t>Core</t>
        </is>
      </c>
      <c r="M24" s="9" t="n">
        <v>1</v>
      </c>
      <c r="N24" s="9" t="n">
        <v>60</v>
      </c>
      <c r="O24" s="10" t="n"/>
      <c r="P24" s="10" t="n"/>
      <c r="Q24" s="12" t="inlineStr">
        <is>
          <t>Coming soon</t>
        </is>
      </c>
    </row>
    <row r="25">
      <c r="A25" s="8" t="inlineStr">
        <is>
          <t>cpay-03</t>
        </is>
      </c>
      <c r="B25" s="8" t="inlineStr">
        <is>
          <t>cpay</t>
        </is>
      </c>
      <c r="C25" s="8" t="inlineStr">
        <is>
          <t>cashier</t>
        </is>
      </c>
      <c r="D25" s="12" t="n">
        <v>20</v>
      </c>
      <c r="E25" s="12" t="inlineStr">
        <is>
          <t>Cashier</t>
        </is>
      </c>
      <c r="F25" s="12" t="inlineStr">
        <is>
          <t>أمين صندوق</t>
        </is>
      </c>
      <c r="G25" s="12" t="n">
        <v>10</v>
      </c>
      <c r="H25" s="10" t="inlineStr">
        <is>
          <t>Cashier Guide</t>
        </is>
      </c>
      <c r="I25" s="10" t="inlineStr">
        <is>
          <t>دليل أمين الصندوق</t>
        </is>
      </c>
      <c r="J25" s="10" t="inlineStr">
        <is>
          <t>On-site payments, receipts and refunds.</t>
        </is>
      </c>
      <c r="K25" s="10" t="inlineStr">
        <is>
          <t>الدفع الحضوري، الإيصالات، والاسترجاع.</t>
        </is>
      </c>
      <c r="L25" s="12" t="inlineStr">
        <is>
          <t>Essential</t>
        </is>
      </c>
      <c r="M25" s="12" t="n">
        <v>1</v>
      </c>
      <c r="N25" s="12" t="n">
        <v>60</v>
      </c>
      <c r="O25" s="10" t="n"/>
      <c r="P25" s="10" t="n"/>
      <c r="Q25" s="12" t="inlineStr">
        <is>
          <t>Coming soon</t>
        </is>
      </c>
    </row>
    <row r="26" ht="25.5" customHeight="1">
      <c r="A26" s="8" t="inlineStr">
        <is>
          <t>cpay-04</t>
        </is>
      </c>
      <c r="B26" s="8" t="inlineStr">
        <is>
          <t>cpay</t>
        </is>
      </c>
      <c r="C26" s="8" t="inlineStr">
        <is>
          <t>parent</t>
        </is>
      </c>
      <c r="D26" s="9" t="n">
        <v>30</v>
      </c>
      <c r="E26" s="9" t="inlineStr">
        <is>
          <t>Parent</t>
        </is>
      </c>
      <c r="F26" s="9" t="inlineStr">
        <is>
          <t>ولي أمر</t>
        </is>
      </c>
      <c r="G26" s="9" t="n">
        <v>10</v>
      </c>
      <c r="H26" s="10" t="inlineStr">
        <is>
          <t>Paying as a Parent</t>
        </is>
      </c>
      <c r="I26" s="10" t="inlineStr">
        <is>
          <t>الدفع لولي الأمر</t>
        </is>
      </c>
      <c r="J26" s="10" t="inlineStr">
        <is>
          <t>View your invoice, pay online and use installment plans.</t>
        </is>
      </c>
      <c r="K26" s="10" t="inlineStr">
        <is>
          <t>عرض الفاتورة، الدفع الإلكتروني، وخطط التقسيط.</t>
        </is>
      </c>
      <c r="L26" s="9" t="inlineStr">
        <is>
          <t>Essential</t>
        </is>
      </c>
      <c r="M26" s="9" t="n">
        <v>1</v>
      </c>
      <c r="N26" s="9" t="n">
        <v>60</v>
      </c>
      <c r="O26" s="10" t="n"/>
      <c r="P26" s="10" t="inlineStr">
        <is>
          <t>https://manual.classera.com/docs-category/c-pay-parent/</t>
        </is>
      </c>
      <c r="Q26" s="12" t="inlineStr">
        <is>
          <t>Coming soon</t>
        </is>
      </c>
    </row>
    <row r="27">
      <c r="A27" s="8" t="inlineStr">
        <is>
          <t>edu-01</t>
        </is>
      </c>
      <c r="B27" s="8" t="inlineStr">
        <is>
          <t>edumalls</t>
        </is>
      </c>
      <c r="C27" s="8" t="inlineStr">
        <is>
          <t>storemgr</t>
        </is>
      </c>
      <c r="D27" s="12" t="n">
        <v>10</v>
      </c>
      <c r="E27" s="12" t="inlineStr">
        <is>
          <t>Store Manager</t>
        </is>
      </c>
      <c r="F27" s="12" t="inlineStr">
        <is>
          <t>مدير المتجر</t>
        </is>
      </c>
      <c r="G27" s="12" t="n">
        <v>10</v>
      </c>
      <c r="H27" s="10" t="inlineStr">
        <is>
          <t>Setting Up Your Store</t>
        </is>
      </c>
      <c r="I27" s="10" t="inlineStr">
        <is>
          <t>تجهيز المتجر</t>
        </is>
      </c>
      <c r="J27" s="10" t="inlineStr">
        <is>
          <t>Catalog, pricing, offers and order management.</t>
        </is>
      </c>
      <c r="K27" s="10" t="inlineStr">
        <is>
          <t>الكتالوج، التسعير، العروض، وإدارة الطلبات.</t>
        </is>
      </c>
      <c r="L27" s="12" t="inlineStr">
        <is>
          <t>Essential</t>
        </is>
      </c>
      <c r="M27" s="12" t="n">
        <v>1</v>
      </c>
      <c r="N27" s="12" t="n">
        <v>60</v>
      </c>
      <c r="O27" s="10" t="n"/>
      <c r="P27" s="10" t="n"/>
      <c r="Q27" s="12" t="inlineStr">
        <is>
          <t>Coming soon</t>
        </is>
      </c>
    </row>
    <row r="28" ht="25.5" customHeight="1">
      <c r="A28" s="8" t="inlineStr">
        <is>
          <t>edu-02</t>
        </is>
      </c>
      <c r="B28" s="8" t="inlineStr">
        <is>
          <t>edumalls</t>
        </is>
      </c>
      <c r="C28" s="8" t="inlineStr">
        <is>
          <t>publisher</t>
        </is>
      </c>
      <c r="D28" s="9" t="n">
        <v>20</v>
      </c>
      <c r="E28" s="9" t="inlineStr">
        <is>
          <t>Content Publisher</t>
        </is>
      </c>
      <c r="F28" s="9" t="inlineStr">
        <is>
          <t>ناشر محتوى</t>
        </is>
      </c>
      <c r="G28" s="9" t="n">
        <v>10</v>
      </c>
      <c r="H28" s="10" t="inlineStr">
        <is>
          <t>Publishing Educational Content</t>
        </is>
      </c>
      <c r="I28" s="10" t="inlineStr">
        <is>
          <t>نشر المحتوى التعليمي</t>
        </is>
      </c>
      <c r="J28" s="10" t="inlineStr">
        <is>
          <t>Upload content, quality standards, rights and revenue share.</t>
        </is>
      </c>
      <c r="K28" s="10" t="inlineStr">
        <is>
          <t>رفع المحتوى، معايير الجودة، والحقوق ومشاركة الإيراد.</t>
        </is>
      </c>
      <c r="L28" s="9" t="inlineStr">
        <is>
          <t>Core</t>
        </is>
      </c>
      <c r="M28" s="9" t="n">
        <v>1</v>
      </c>
      <c r="N28" s="9" t="n">
        <v>60</v>
      </c>
      <c r="O28" s="10" t="n"/>
      <c r="P28" s="10" t="n"/>
      <c r="Q28" s="12" t="inlineStr">
        <is>
          <t>Coming soon</t>
        </is>
      </c>
    </row>
    <row r="29" ht="25.5" customHeight="1">
      <c r="A29" s="8" t="inlineStr">
        <is>
          <t>edu-03</t>
        </is>
      </c>
      <c r="B29" s="8" t="inlineStr">
        <is>
          <t>edumalls</t>
        </is>
      </c>
      <c r="C29" s="8" t="inlineStr">
        <is>
          <t>storemgr</t>
        </is>
      </c>
      <c r="D29" s="12" t="n">
        <v>10</v>
      </c>
      <c r="E29" s="12" t="inlineStr">
        <is>
          <t>Store Manager</t>
        </is>
      </c>
      <c r="F29" s="12" t="inlineStr">
        <is>
          <t>مدير المتجر</t>
        </is>
      </c>
      <c r="G29" s="12" t="n">
        <v>20</v>
      </c>
      <c r="H29" s="10" t="inlineStr">
        <is>
          <t>Sales Analytics</t>
        </is>
      </c>
      <c r="I29" s="10" t="inlineStr">
        <is>
          <t>تحليل المبيعات</t>
        </is>
      </c>
      <c r="J29" s="10" t="inlineStr">
        <is>
          <t>Product performance, conversion rate and pricing decisions.</t>
        </is>
      </c>
      <c r="K29" s="10" t="inlineStr">
        <is>
          <t>أداء المنتجات، معدل التحويل، وقرارات التسعير.</t>
        </is>
      </c>
      <c r="L29" s="12" t="inlineStr">
        <is>
          <t>Advanced</t>
        </is>
      </c>
      <c r="M29" s="12" t="n">
        <v>1</v>
      </c>
      <c r="N29" s="12" t="n">
        <v>60</v>
      </c>
      <c r="O29" s="10" t="n"/>
      <c r="P29" s="10" t="n"/>
      <c r="Q29" s="12" t="inlineStr">
        <is>
          <t>Coming soon</t>
        </is>
      </c>
    </row>
    <row r="30">
      <c r="A30" s="8" t="inlineStr">
        <is>
          <t>edu-04</t>
        </is>
      </c>
      <c r="B30" s="8" t="inlineStr">
        <is>
          <t>edumalls</t>
        </is>
      </c>
      <c r="C30" s="8" t="inlineStr">
        <is>
          <t>buyer</t>
        </is>
      </c>
      <c r="D30" s="9" t="n">
        <v>30</v>
      </c>
      <c r="E30" s="9" t="inlineStr">
        <is>
          <t>Buyer / Parent</t>
        </is>
      </c>
      <c r="F30" s="9" t="inlineStr">
        <is>
          <t>مشتري / ولي أمر</t>
        </is>
      </c>
      <c r="G30" s="9" t="n">
        <v>10</v>
      </c>
      <c r="H30" s="10" t="inlineStr">
        <is>
          <t>Buyer Guide</t>
        </is>
      </c>
      <c r="I30" s="10" t="inlineStr">
        <is>
          <t>دليل الشراء</t>
        </is>
      </c>
      <c r="J30" s="10" t="inlineStr">
        <is>
          <t>Search, order, pay and track.</t>
        </is>
      </c>
      <c r="K30" s="10" t="inlineStr">
        <is>
          <t>البحث، الطلب، الدفع، والمتابعة.</t>
        </is>
      </c>
      <c r="L30" s="9" t="inlineStr">
        <is>
          <t>Essential</t>
        </is>
      </c>
      <c r="M30" s="9" t="n">
        <v>1</v>
      </c>
      <c r="N30" s="9" t="n">
        <v>60</v>
      </c>
      <c r="O30" s="10" t="n"/>
      <c r="P30" s="10" t="n"/>
      <c r="Q30" s="12" t="inlineStr">
        <is>
          <t>Coming soon</t>
        </is>
      </c>
    </row>
    <row r="31" ht="25.5" customHeight="1">
      <c r="A31" s="8" t="inlineStr">
        <is>
          <t>cin-01</t>
        </is>
      </c>
      <c r="B31" s="8" t="inlineStr">
        <is>
          <t>cinspire</t>
        </is>
      </c>
      <c r="C31" s="8" t="inlineStr">
        <is>
          <t>activity</t>
        </is>
      </c>
      <c r="D31" s="12" t="n">
        <v>10</v>
      </c>
      <c r="E31" s="12" t="inlineStr">
        <is>
          <t>Activity Officer</t>
        </is>
      </c>
      <c r="F31" s="12" t="inlineStr">
        <is>
          <t>مسؤول الأنشطة</t>
        </is>
      </c>
      <c r="G31" s="12" t="n">
        <v>10</v>
      </c>
      <c r="H31" s="10" t="inlineStr">
        <is>
          <t>Setting Up the Points System</t>
        </is>
      </c>
      <c r="I31" s="10" t="inlineStr">
        <is>
          <t>إعداد نظام النقاط</t>
        </is>
      </c>
      <c r="J31" s="10" t="inlineStr">
        <is>
          <t>Define point categories, values, levels and the reward catalog for your school.</t>
        </is>
      </c>
      <c r="K31" s="10" t="inlineStr">
        <is>
          <t>تحديد فئات النقاط وقيمها ومستوياتها وقائمة المكافآت الخاصة بمدرستك.</t>
        </is>
      </c>
      <c r="L31" s="12" t="inlineStr">
        <is>
          <t>Core</t>
        </is>
      </c>
      <c r="M31" s="12" t="n">
        <v>1</v>
      </c>
      <c r="N31" s="12" t="n">
        <v>60</v>
      </c>
      <c r="O31" s="10" t="n"/>
      <c r="P31" s="10" t="inlineStr">
        <is>
          <t>https://manual.classera.com/docs-category/c-inspire-awards-activity-officer/</t>
        </is>
      </c>
      <c r="Q31" s="12" t="inlineStr">
        <is>
          <t>Coming soon</t>
        </is>
      </c>
    </row>
    <row r="32" ht="25.5" customHeight="1">
      <c r="A32" s="8" t="inlineStr">
        <is>
          <t>cin-02</t>
        </is>
      </c>
      <c r="B32" s="8" t="inlineStr">
        <is>
          <t>cinspire</t>
        </is>
      </c>
      <c r="C32" s="8" t="inlineStr">
        <is>
          <t>activity</t>
        </is>
      </c>
      <c r="D32" s="9" t="n">
        <v>10</v>
      </c>
      <c r="E32" s="9" t="inlineStr">
        <is>
          <t>Activity Officer</t>
        </is>
      </c>
      <c r="F32" s="9" t="inlineStr">
        <is>
          <t>مسؤول الأنشطة</t>
        </is>
      </c>
      <c r="G32" s="9" t="n">
        <v>20</v>
      </c>
      <c r="H32" s="10" t="inlineStr">
        <is>
          <t>Rewards, Badges and Leaderboards</t>
        </is>
      </c>
      <c r="I32" s="10" t="inlineStr">
        <is>
          <t>المكافآت والشارات ولوحات الصدارة</t>
        </is>
      </c>
      <c r="J32" s="10" t="inlineStr">
        <is>
          <t>Design reward tiers, publish leaderboards and run seasonal point campaigns.</t>
        </is>
      </c>
      <c r="K32" s="10" t="inlineStr">
        <is>
          <t>تصميم مستويات المكافآت، نشر لوحات الصدارة، وإطلاق حملات نقاط موسمية.</t>
        </is>
      </c>
      <c r="L32" s="9" t="inlineStr">
        <is>
          <t>Advanced</t>
        </is>
      </c>
      <c r="M32" s="9" t="n">
        <v>1</v>
      </c>
      <c r="N32" s="9" t="n">
        <v>60</v>
      </c>
      <c r="O32" s="10" t="n"/>
      <c r="P32" s="10" t="n"/>
      <c r="Q32" s="12" t="inlineStr">
        <is>
          <t>Coming soon</t>
        </is>
      </c>
    </row>
    <row r="33" ht="25.5" customHeight="1">
      <c r="A33" s="8" t="inlineStr">
        <is>
          <t>cin-03</t>
        </is>
      </c>
      <c r="B33" s="8" t="inlineStr">
        <is>
          <t>cinspire</t>
        </is>
      </c>
      <c r="C33" s="8" t="inlineStr">
        <is>
          <t>teacher</t>
        </is>
      </c>
      <c r="D33" s="12" t="n">
        <v>20</v>
      </c>
      <c r="E33" s="12" t="inlineStr">
        <is>
          <t>Teacher</t>
        </is>
      </c>
      <c r="F33" s="12" t="inlineStr">
        <is>
          <t>معلم</t>
        </is>
      </c>
      <c r="G33" s="12" t="n">
        <v>10</v>
      </c>
      <c r="H33" s="10" t="inlineStr">
        <is>
          <t>Awarding Points in Class</t>
        </is>
      </c>
      <c r="I33" s="10" t="inlineStr">
        <is>
          <t>منح النقاط داخل الفصل</t>
        </is>
      </c>
      <c r="J33" s="10" t="inlineStr">
        <is>
          <t>Give and withdraw points, use quick actions, and keep awarding fair and consistent.</t>
        </is>
      </c>
      <c r="K33" s="10" t="inlineStr">
        <is>
          <t>منح النقاط وسحبها، استخدام الإجراءات السريعة، والحفاظ على عدالة المنح واتساقه.</t>
        </is>
      </c>
      <c r="L33" s="12" t="inlineStr">
        <is>
          <t>Essential</t>
        </is>
      </c>
      <c r="M33" s="12" t="n">
        <v>1</v>
      </c>
      <c r="N33" s="12" t="n">
        <v>60</v>
      </c>
      <c r="O33" s="10" t="n"/>
      <c r="P33" s="10" t="inlineStr">
        <is>
          <t>https://manual.classera.com/docs-category/c-inspire/</t>
        </is>
      </c>
      <c r="Q33" s="12" t="inlineStr">
        <is>
          <t>Coming soon</t>
        </is>
      </c>
    </row>
    <row r="34" ht="25.5" customHeight="1">
      <c r="A34" s="8" t="inlineStr">
        <is>
          <t>cin-04</t>
        </is>
      </c>
      <c r="B34" s="8" t="inlineStr">
        <is>
          <t>cinspire</t>
        </is>
      </c>
      <c r="C34" s="8" t="inlineStr">
        <is>
          <t>student</t>
        </is>
      </c>
      <c r="D34" s="9" t="n">
        <v>30</v>
      </c>
      <c r="E34" s="9" t="inlineStr">
        <is>
          <t>Student</t>
        </is>
      </c>
      <c r="F34" s="9" t="inlineStr">
        <is>
          <t>طالب</t>
        </is>
      </c>
      <c r="G34" s="9" t="n">
        <v>10</v>
      </c>
      <c r="H34" s="10" t="inlineStr">
        <is>
          <t>Earning and Spending Your Points</t>
        </is>
      </c>
      <c r="I34" s="10" t="inlineStr">
        <is>
          <t>اكسب نقاطك واستبدلها</t>
        </is>
      </c>
      <c r="J34" s="10" t="inlineStr">
        <is>
          <t>Track your balance, climb the leaderboard, and redeem points for rewards and badges.</t>
        </is>
      </c>
      <c r="K34" s="10" t="inlineStr">
        <is>
          <t>تابع رصيدك، تقدّم في لوحة الصدارة، واستبدل نقاطك بالمكافآت والشارات.</t>
        </is>
      </c>
      <c r="L34" s="9" t="inlineStr">
        <is>
          <t>Essential</t>
        </is>
      </c>
      <c r="M34" s="9" t="n">
        <v>1</v>
      </c>
      <c r="N34" s="9" t="n">
        <v>60</v>
      </c>
      <c r="O34" s="10" t="n"/>
      <c r="P34" s="10" t="inlineStr">
        <is>
          <t>https://manual.classera.com/docs-category/c-inspire-awards-and-scores-student/</t>
        </is>
      </c>
      <c r="Q34" s="12" t="inlineStr">
        <is>
          <t>Coming soon</t>
        </is>
      </c>
    </row>
    <row r="35" ht="25.5" customHeight="1">
      <c r="A35" s="8" t="inlineStr">
        <is>
          <t>cin-05</t>
        </is>
      </c>
      <c r="B35" s="8" t="inlineStr">
        <is>
          <t>cinspire</t>
        </is>
      </c>
      <c r="C35" s="8" t="inlineStr">
        <is>
          <t>parent</t>
        </is>
      </c>
      <c r="D35" s="12" t="n">
        <v>40</v>
      </c>
      <c r="E35" s="12" t="inlineStr">
        <is>
          <t>Parent</t>
        </is>
      </c>
      <c r="F35" s="12" t="inlineStr">
        <is>
          <t>ولي أمر</t>
        </is>
      </c>
      <c r="G35" s="12" t="n">
        <v>10</v>
      </c>
      <c r="H35" s="10" t="inlineStr">
        <is>
          <t>Following Your Child's Points</t>
        </is>
      </c>
      <c r="I35" s="10" t="inlineStr">
        <is>
          <t>متابعة نقاط أبنائك</t>
        </is>
      </c>
      <c r="J35" s="10" t="inlineStr">
        <is>
          <t>See points earned, the reasons behind them, and your child's standing.</t>
        </is>
      </c>
      <c r="K35" s="10" t="inlineStr">
        <is>
          <t>اطّلع على النقاط المكتسبة وأسبابها وترتيب ابنك.</t>
        </is>
      </c>
      <c r="L35" s="12" t="inlineStr">
        <is>
          <t>Essential</t>
        </is>
      </c>
      <c r="M35" s="12" t="n">
        <v>1</v>
      </c>
      <c r="N35" s="12" t="n">
        <v>60</v>
      </c>
      <c r="O35" s="10" t="n"/>
      <c r="P35" s="10" t="inlineStr">
        <is>
          <t>https://manual.classera.com/docs-category/c-inspire-awards-parent/</t>
        </is>
      </c>
      <c r="Q35" s="12" t="inlineStr">
        <is>
          <t>Coming soon</t>
        </is>
      </c>
    </row>
    <row r="36">
      <c r="A36" s="8" t="inlineStr">
        <is>
          <t>tms-06</t>
        </is>
      </c>
      <c r="B36" s="8" t="inlineStr">
        <is>
          <t>tms</t>
        </is>
      </c>
      <c r="C36" s="8" t="inlineStr">
        <is>
          <t>trmanager</t>
        </is>
      </c>
      <c r="D36" s="12" t="n">
        <v>10</v>
      </c>
      <c r="E36" s="12" t="inlineStr">
        <is>
          <t>Training Manager</t>
        </is>
      </c>
      <c r="F36" s="12" t="inlineStr">
        <is>
          <t>مدير التدريب</t>
        </is>
      </c>
      <c r="G36" s="12" t="n">
        <v>30</v>
      </c>
      <c r="H36" s="10" t="inlineStr">
        <is>
          <t>Course Design &amp; Content</t>
        </is>
      </c>
      <c r="I36" s="10" t="inlineStr">
        <is>
          <t>تصميم الدورات والمحتوى</t>
        </is>
      </c>
      <c r="J36" s="10" t="inlineStr">
        <is>
          <t>Create courses and build their content, sessions and assessments.</t>
        </is>
      </c>
      <c r="K36" s="10" t="inlineStr">
        <is>
          <t>إنشاء الدورات وبناء محتواها وجلساتها وتقييماتها.</t>
        </is>
      </c>
      <c r="L36" s="12" t="inlineStr">
        <is>
          <t>Core</t>
        </is>
      </c>
      <c r="M36" s="12" t="n"/>
      <c r="N36" s="12" t="n"/>
      <c r="O36" s="10" t="inlineStr">
        <is>
          <t>https://leadxeratraining.classera.com/lectures-list/?course_title=TMS|%20Course%20Design%20%26%20Content%20%20|%20Content&amp;course_type=1&amp;c=eyJjb3Vyc2VfaWQiOiIxMjgzMTgifQ</t>
        </is>
      </c>
      <c r="P36" s="10" t="inlineStr">
        <is>
          <t>https://usermanual.leadxera.com/docs/managing-content-2/</t>
        </is>
      </c>
      <c r="Q36" s="12" t="inlineStr">
        <is>
          <t>Live</t>
        </is>
      </c>
    </row>
    <row r="37">
      <c r="A37" s="8" t="inlineStr">
        <is>
          <t>tms-07</t>
        </is>
      </c>
      <c r="B37" s="8" t="inlineStr">
        <is>
          <t>tms</t>
        </is>
      </c>
      <c r="C37" s="8" t="inlineStr">
        <is>
          <t>trmanager</t>
        </is>
      </c>
      <c r="D37" s="12" t="n">
        <v>10</v>
      </c>
      <c r="E37" s="12" t="inlineStr">
        <is>
          <t>Training Manager</t>
        </is>
      </c>
      <c r="F37" s="12" t="inlineStr">
        <is>
          <t>مدير التدريب</t>
        </is>
      </c>
      <c r="G37" s="12" t="n">
        <v>40</v>
      </c>
      <c r="H37" s="10" t="inlineStr">
        <is>
          <t>Follow Up &amp; Reporting Tools</t>
        </is>
      </c>
      <c r="I37" s="10" t="inlineStr">
        <is>
          <t>أدوات المتابعة والتقارير</t>
        </is>
      </c>
      <c r="J37" s="10" t="inlineStr">
        <is>
          <t>Track learner progress with progress, enrollment and course statistics reports.</t>
        </is>
      </c>
      <c r="K37" s="10" t="inlineStr">
        <is>
          <t>متابعة تقدم المتدربين عبر تقارير التقدم والتسجيل وإحصائيات الدورات.</t>
        </is>
      </c>
      <c r="L37" s="12" t="inlineStr">
        <is>
          <t>Core</t>
        </is>
      </c>
      <c r="M37" s="12" t="n"/>
      <c r="N37" s="12" t="n"/>
      <c r="O37" s="10" t="inlineStr">
        <is>
          <t>https://leadxeratraining.classera.com/lectures-list/?course_title=TMS%20|%20%20Follow%20Up%20%26%20Reporting%20Tools&amp;course_type=1&amp;c=eyJjb3Vyc2VfaWQiOiIxMjgzMTYifQ</t>
        </is>
      </c>
      <c r="P37" s="10" t="inlineStr">
        <is>
          <t>https://usermanual.leadxera.com/docs/comprehensive-progress-report/</t>
        </is>
      </c>
      <c r="Q37" s="12" t="inlineStr">
        <is>
          <t>Live</t>
        </is>
      </c>
    </row>
  </sheetData>
  <hyperlinks>
    <hyperlink xmlns:r="http://schemas.openxmlformats.org/officeDocument/2006/relationships" ref="O7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5" customWidth="1" min="1" max="4"/>
  </cols>
  <sheetData>
    <row r="1">
      <c r="A1" s="13" t="inlineStr">
        <is>
          <t>Icon</t>
        </is>
      </c>
      <c r="B1" s="13" t="inlineStr">
        <is>
          <t>Accent</t>
        </is>
      </c>
      <c r="C1" s="13" t="inlineStr">
        <is>
          <t>Level</t>
        </is>
      </c>
      <c r="D1" s="13" t="inlineStr">
        <is>
          <t>Status</t>
        </is>
      </c>
    </row>
    <row r="2">
      <c r="A2" s="14" t="inlineStr">
        <is>
          <t>lms</t>
        </is>
      </c>
      <c r="B2" s="14" t="inlineStr">
        <is>
          <t>cyan</t>
        </is>
      </c>
      <c r="C2" s="14" t="inlineStr">
        <is>
          <t>Essential</t>
        </is>
      </c>
      <c r="D2" s="14" t="inlineStr">
        <is>
          <t>Live</t>
        </is>
      </c>
    </row>
    <row r="3">
      <c r="A3" s="14" t="inlineStr">
        <is>
          <t>tms</t>
        </is>
      </c>
      <c r="B3" s="14" t="inlineStr">
        <is>
          <t>blue</t>
        </is>
      </c>
      <c r="C3" s="14" t="inlineStr">
        <is>
          <t>Core</t>
        </is>
      </c>
      <c r="D3" s="14" t="inlineStr">
        <is>
          <t>Coming soon</t>
        </is>
      </c>
    </row>
    <row r="4">
      <c r="A4" s="14" t="inlineStr">
        <is>
          <t>erp</t>
        </is>
      </c>
      <c r="B4" s="14" t="inlineStr">
        <is>
          <t>gold</t>
        </is>
      </c>
      <c r="C4" s="14" t="inlineStr">
        <is>
          <t>Advanced</t>
        </is>
      </c>
      <c r="D4" s="14" t="inlineStr">
        <is>
          <t>Hidden</t>
        </is>
      </c>
    </row>
    <row r="5">
      <c r="A5" s="14" t="inlineStr">
        <is>
          <t>pay</t>
        </is>
      </c>
      <c r="B5" s="14" t="inlineStr">
        <is>
          <t>green</t>
        </is>
      </c>
    </row>
    <row r="6">
      <c r="A6" s="14" t="inlineStr">
        <is>
          <t>mall</t>
        </is>
      </c>
    </row>
    <row r="7">
      <c r="A7" s="14" t="inlineStr">
        <is>
          <t>spark</t>
        </is>
      </c>
    </row>
    <row r="8">
      <c r="A8" s="14" t="inlineStr">
        <is>
          <t>book</t>
        </is>
      </c>
    </row>
    <row r="9">
      <c r="A9" s="14" t="inlineStr">
        <is>
          <t>chart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zoomScaleNormal="100" workbookViewId="0">
      <selection activeCell="H9" sqref="H9"/>
    </sheetView>
  </sheetViews>
  <sheetFormatPr baseColWidth="8" defaultColWidth="8.7109375" defaultRowHeight="15"/>
  <cols>
    <col width="32" customWidth="1" min="2" max="2"/>
    <col width="13" customWidth="1" min="3" max="3"/>
    <col width="9" customWidth="1" min="4" max="5"/>
    <col width="12" customWidth="1" min="6" max="6"/>
    <col width="17" customWidth="1" min="7" max="8"/>
  </cols>
  <sheetData>
    <row r="2" ht="18" customHeight="1">
      <c r="B2" s="15" t="inlineStr">
        <is>
          <t>Coverage at a glance</t>
        </is>
      </c>
    </row>
    <row r="3">
      <c r="B3" s="2" t="inlineStr">
        <is>
          <t>Counts update automatically from the Tracks sheet.</t>
        </is>
      </c>
    </row>
    <row r="5">
      <c r="B5" s="13" t="inlineStr">
        <is>
          <t>Product</t>
        </is>
      </c>
      <c r="C5" s="13" t="inlineStr">
        <is>
          <t>Status</t>
        </is>
      </c>
      <c r="D5" s="13" t="inlineStr">
        <is>
          <t>Roles</t>
        </is>
      </c>
      <c r="E5" s="13" t="inlineStr">
        <is>
          <t>Tracks</t>
        </is>
      </c>
      <c r="F5" s="13" t="inlineStr">
        <is>
          <t>Live tracks</t>
        </is>
      </c>
      <c r="G5" s="13" t="inlineStr">
        <is>
          <t>Course links set</t>
        </is>
      </c>
      <c r="H5" s="13" t="inlineStr">
        <is>
          <t>Manual links set</t>
        </is>
      </c>
    </row>
    <row r="6">
      <c r="B6" s="16" t="inlineStr">
        <is>
          <t>Learning Management System (LMS)</t>
        </is>
      </c>
      <c r="C6" s="16">
        <f>INDEX(Products!$K$2:$K$7,MATCH("lms",Products!$A$2:$A$7,0))</f>
        <v/>
      </c>
      <c r="D6" s="16">
        <f>SUMPRODUCT((Tracks!$B$2:$B$200="lms")/COUNTIFS(Tracks!$B$2:$B$200,Tracks!$B$2:$B$200&amp;"",Tracks!$C$2:$C$200,Tracks!$C$2:$C$200&amp;""))</f>
        <v/>
      </c>
      <c r="E6" s="16">
        <f>COUNTIF(Tracks!$B$2:$B$200,"lms")</f>
        <v/>
      </c>
      <c r="F6" s="16">
        <f>COUNTIFS(Tracks!$B$2:$B$200,"lms",Tracks!$Q$2:$Q$200,"Live")</f>
        <v/>
      </c>
      <c r="G6" s="16">
        <f>COUNTIFS(Tracks!$B$2:$B$200,"lms",Tracks!$O$2:$O$200,"&lt;&gt;")</f>
        <v/>
      </c>
      <c r="H6" s="16">
        <f>COUNTIFS(Tracks!$B$2:$B$200,"lms",Tracks!$P$2:$P$200,"&lt;&gt;")</f>
        <v/>
      </c>
    </row>
    <row r="7">
      <c r="B7" s="14" t="inlineStr">
        <is>
          <t>Training Management System (TMS)</t>
        </is>
      </c>
      <c r="C7" s="14">
        <f>INDEX(Products!$K$2:$K$7,MATCH("tms",Products!$A$2:$A$7,0))</f>
        <v/>
      </c>
      <c r="D7" s="14">
        <f>SUMPRODUCT((Tracks!$B$2:$B$200="tms")/COUNTIFS(Tracks!$B$2:$B$200,Tracks!$B$2:$B$200&amp;"",Tracks!$C$2:$C$200,Tracks!$C$2:$C$200&amp;""))</f>
        <v/>
      </c>
      <c r="E7" s="14">
        <f>COUNTIF(Tracks!$B$2:$B$200,"tms")</f>
        <v/>
      </c>
      <c r="F7" s="14">
        <f>COUNTIFS(Tracks!$B$2:$B$200,"tms",Tracks!$Q$2:$Q$200,"Live")</f>
        <v/>
      </c>
      <c r="G7" s="14">
        <f>COUNTIFS(Tracks!$B$2:$B$200,"tms",Tracks!$O$2:$O$200,"&lt;&gt;")</f>
        <v/>
      </c>
      <c r="H7" s="14">
        <f>COUNTIFS(Tracks!$B$2:$B$200,"tms",Tracks!$P$2:$P$200,"&lt;&gt;")</f>
        <v/>
      </c>
    </row>
    <row r="8">
      <c r="B8" s="16" t="inlineStr">
        <is>
          <t>C-SmarX ERP</t>
        </is>
      </c>
      <c r="C8" s="16">
        <f>INDEX(Products!$K$2:$K$7,MATCH("erp",Products!$A$2:$A$7,0))</f>
        <v/>
      </c>
      <c r="D8" s="16">
        <f>SUMPRODUCT((Tracks!$B$2:$B$200="erp")/COUNTIFS(Tracks!$B$2:$B$200,Tracks!$B$2:$B$200&amp;"",Tracks!$C$2:$C$200,Tracks!$C$2:$C$200&amp;""))</f>
        <v/>
      </c>
      <c r="E8" s="16">
        <f>COUNTIF(Tracks!$B$2:$B$200,"erp")</f>
        <v/>
      </c>
      <c r="F8" s="16">
        <f>COUNTIFS(Tracks!$B$2:$B$200,"erp",Tracks!$Q$2:$Q$200,"Live")</f>
        <v/>
      </c>
      <c r="G8" s="16">
        <f>COUNTIFS(Tracks!$B$2:$B$200,"erp",Tracks!$O$2:$O$200,"&lt;&gt;")</f>
        <v/>
      </c>
      <c r="H8" s="16">
        <f>COUNTIFS(Tracks!$B$2:$B$200,"erp",Tracks!$P$2:$P$200,"&lt;&gt;")</f>
        <v/>
      </c>
    </row>
    <row r="9">
      <c r="B9" s="14" t="inlineStr">
        <is>
          <t>C-Pay</t>
        </is>
      </c>
      <c r="C9" s="14">
        <f>INDEX(Products!$K$2:$K$7,MATCH("cpay",Products!$A$2:$A$7,0))</f>
        <v/>
      </c>
      <c r="D9" s="14">
        <f>SUMPRODUCT((Tracks!$B$2:$B$200="cpay")/COUNTIFS(Tracks!$B$2:$B$200,Tracks!$B$2:$B$200&amp;"",Tracks!$C$2:$C$200,Tracks!$C$2:$C$200&amp;""))</f>
        <v/>
      </c>
      <c r="E9" s="14">
        <f>COUNTIF(Tracks!$B$2:$B$200,"cpay")</f>
        <v/>
      </c>
      <c r="F9" s="14">
        <f>COUNTIFS(Tracks!$B$2:$B$200,"cpay",Tracks!$Q$2:$Q$200,"Live")</f>
        <v/>
      </c>
      <c r="G9" s="14">
        <f>COUNTIFS(Tracks!$B$2:$B$200,"cpay",Tracks!$O$2:$O$200,"&lt;&gt;")</f>
        <v/>
      </c>
      <c r="H9" s="14">
        <f>COUNTIFS(Tracks!$B$2:$B$200,"cpay",Tracks!$P$2:$P$200,"&lt;&gt;")</f>
        <v/>
      </c>
    </row>
    <row r="10">
      <c r="B10" s="16" t="inlineStr">
        <is>
          <t>Edumalls</t>
        </is>
      </c>
      <c r="C10" s="16">
        <f>INDEX(Products!$K$2:$K$7,MATCH("edumalls",Products!$A$2:$A$7,0))</f>
        <v/>
      </c>
      <c r="D10" s="16">
        <f>SUMPRODUCT((Tracks!$B$2:$B$200="edumalls")/COUNTIFS(Tracks!$B$2:$B$200,Tracks!$B$2:$B$200&amp;"",Tracks!$C$2:$C$200,Tracks!$C$2:$C$200&amp;""))</f>
        <v/>
      </c>
      <c r="E10" s="16">
        <f>COUNTIF(Tracks!$B$2:$B$200,"edumalls")</f>
        <v/>
      </c>
      <c r="F10" s="16">
        <f>COUNTIFS(Tracks!$B$2:$B$200,"edumalls",Tracks!$Q$2:$Q$200,"Live")</f>
        <v/>
      </c>
      <c r="G10" s="16">
        <f>COUNTIFS(Tracks!$B$2:$B$200,"edumalls",Tracks!$O$2:$O$200,"&lt;&gt;")</f>
        <v/>
      </c>
      <c r="H10" s="16">
        <f>COUNTIFS(Tracks!$B$2:$B$200,"edumalls",Tracks!$P$2:$P$200,"&lt;&gt;")</f>
        <v/>
      </c>
    </row>
    <row r="11">
      <c r="B11" s="14" t="inlineStr">
        <is>
          <t>C-Inspire</t>
        </is>
      </c>
      <c r="C11" s="14">
        <f>INDEX(Products!$K$2:$K$7,MATCH("cinspire",Products!$A$2:$A$7,0))</f>
        <v/>
      </c>
      <c r="D11" s="14">
        <f>SUMPRODUCT((Tracks!$B$2:$B$200="cinspire")/COUNTIFS(Tracks!$B$2:$B$200,Tracks!$B$2:$B$200&amp;"",Tracks!$C$2:$C$200,Tracks!$C$2:$C$200&amp;""))</f>
        <v/>
      </c>
      <c r="E11" s="14">
        <f>COUNTIF(Tracks!$B$2:$B$200,"cinspire")</f>
        <v/>
      </c>
      <c r="F11" s="14">
        <f>COUNTIFS(Tracks!$B$2:$B$200,"cinspire",Tracks!$Q$2:$Q$200,"Live")</f>
        <v/>
      </c>
      <c r="G11" s="14">
        <f>COUNTIFS(Tracks!$B$2:$B$200,"cinspire",Tracks!$O$2:$O$200,"&lt;&gt;")</f>
        <v/>
      </c>
      <c r="H11" s="14">
        <f>COUNTIFS(Tracks!$B$2:$B$200,"cinspire",Tracks!$P$2:$P$200,"&lt;&gt;")</f>
        <v/>
      </c>
    </row>
    <row r="12">
      <c r="B12" s="17" t="inlineStr">
        <is>
          <t>Total</t>
        </is>
      </c>
      <c r="C12" s="18" t="n"/>
      <c r="D12" s="19">
        <f>SUM(D6:D11)</f>
        <v/>
      </c>
      <c r="E12" s="19">
        <f>SUM(E6:E11)</f>
        <v/>
      </c>
      <c r="F12" s="19">
        <f>SUM(F6:F11)</f>
        <v/>
      </c>
      <c r="G12" s="19">
        <f>SUM(G6:G11)</f>
        <v/>
      </c>
      <c r="H12" s="19">
        <f>SUM(H6:H11)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2026-10-01T08:43:46Z</dcterms:created>
  <dcterms:modified xmlns:dcterms="http://purl.org/dc/terms/" xmlns:xsi="http://www.w3.org/2001/XMLSchema-instance" xsi:type="dcterms:W3CDTF">2026-10-19T11:11:09Z</dcterms:modified>
  <cp:lastModifiedBy>Mahmoud Serag</cp:lastModifiedBy>
  <cp:revision>0</cp:revision>
</cp:coreProperties>
</file>