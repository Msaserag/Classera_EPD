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Products" sheetId="2" state="visible" r:id="rId4"/>
    <sheet name="Tracks" sheetId="3" state="visible" r:id="rId5"/>
    <sheet name="Lists" sheetId="4" state="visible" r:id="rId6"/>
    <sheet name="Summary" sheetId="5" state="visible" r:id="rId7"/>
  </sheets>
  <definedNames>
    <definedName function="false" hidden="true" localSheetId="1" name="_xlnm._FilterDatabase" vbProcedure="false">Products!$A$1:$K$7</definedName>
    <definedName function="false" hidden="true" localSheetId="2" name="_xlnm._FilterDatabase" vbProcedure="false">Tracks!$A$1:$Q$31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Never change an existing key. Tracks are matched to products by this value.</t>
        </r>
      </text>
    </comment>
    <comment ref="I1" authorId="0">
      <text>
        <r>
          <rPr>
            <sz val="10"/>
            <rFont val="Arial"/>
            <family val="2"/>
          </rPr>
          <t xml:space="preserve">Host only, no https:// and no trailing slash. Example: elearning.classera.com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Arial"/>
            <family val="2"/>
          </rPr>
          <t xml:space="preserve">Paste the full course or learning-path URL. Leave empty and the button opens the platform sign-in with a 'coming soon' note.</t>
        </r>
      </text>
    </comment>
    <comment ref="P1" authorId="0">
      <text>
        <r>
          <rPr>
            <sz val="10"/>
            <rFont val="Arial"/>
            <family val="2"/>
          </rPr>
          <t xml:space="preserve">Optional. The matching user-manual page. Leave empty to hide the 'Read the manual' button.</t>
        </r>
      </text>
    </comment>
  </commentList>
</comments>
</file>

<file path=xl/sharedStrings.xml><?xml version="1.0" encoding="utf-8"?>
<sst xmlns="http://schemas.openxmlformats.org/spreadsheetml/2006/main" count="495" uniqueCount="326">
  <si>
    <t xml:space="preserve">Classera Onboarding Hub - content control</t>
  </si>
  <si>
    <t xml:space="preserve">onboarding.classera.com  |  edit this file, the site follows</t>
  </si>
  <si>
    <t xml:space="preserve">How to publish a change</t>
  </si>
  <si>
    <t xml:space="preserve">1.  Edit the Products or Tracks sheet below. Save.</t>
  </si>
  <si>
    <t xml:space="preserve">2.  On GitHub, open the site repository and click Add file &gt; Upload files.</t>
  </si>
  <si>
    <t xml:space="preserve">3.  Drop this file in, renamed exactly onboarding-tracker.xlsx. It replaces the old one.</t>
  </si>
  <si>
    <t xml:space="preserve">4.  Click Commit changes. The site refreshes within about a minute.</t>
  </si>
  <si>
    <t xml:space="preserve">What each sheet controls</t>
  </si>
  <si>
    <t xml:space="preserve">Products   One row per card in step 1. Order sets the position. Platform Host is where the track opens.</t>
  </si>
  <si>
    <t xml:space="preserve">Tracks     One row per track card in step 3. The role chips in step 2 are built from this sheet.</t>
  </si>
  <si>
    <t xml:space="preserve">Lists      The allowed values. Do not rename them.</t>
  </si>
  <si>
    <t xml:space="preserve">Summary    Live counts. Read only.</t>
  </si>
  <si>
    <t xml:space="preserve">Rules that keep it working</t>
  </si>
  <si>
    <t xml:space="preserve">Never change an existing Site Key. It is how a row stays matched to its card.</t>
  </si>
  <si>
    <t xml:space="preserve">Keep the column headers exactly as they are. Add rows, never columns.</t>
  </si>
  <si>
    <t xml:space="preserve">Product Key on a track row must match a Site Key on the Products sheet.</t>
  </si>
  <si>
    <t xml:space="preserve">A role appears in step 2 as soon as one track row uses its Role Key. Role Order sets the chip order.</t>
  </si>
  <si>
    <t xml:space="preserve">Course Link empty: the button opens the platform sign-in and shows 'Course link will be updated soon'.</t>
  </si>
  <si>
    <t xml:space="preserve">Manual Link empty: the 'Read the manual' button is hidden for that track.</t>
  </si>
  <si>
    <t xml:space="preserve">Status Hidden: the row disappears from the site. Coming soon: shown, button disabled.</t>
  </si>
  <si>
    <t xml:space="preserve">If this file is missing or cannot be read, the site shows its built-in content instead. Nothing breaks.</t>
  </si>
  <si>
    <t xml:space="preserve">Everything in this file is public once uploaded. Keep anything confidential out of it.</t>
  </si>
  <si>
    <t xml:space="preserve">Site Key</t>
  </si>
  <si>
    <t xml:space="preserve">Order</t>
  </si>
  <si>
    <t xml:space="preserve">Product (EN)</t>
  </si>
  <si>
    <t xml:space="preserve">Product (AR)</t>
  </si>
  <si>
    <t xml:space="preserve">Description (EN)</t>
  </si>
  <si>
    <t xml:space="preserve">Description (AR)</t>
  </si>
  <si>
    <t xml:space="preserve">Icon</t>
  </si>
  <si>
    <t xml:space="preserve">Accent</t>
  </si>
  <si>
    <t xml:space="preserve">Platform Host</t>
  </si>
  <si>
    <t xml:space="preserve">Login Path</t>
  </si>
  <si>
    <t xml:space="preserve">Status</t>
  </si>
  <si>
    <t xml:space="preserve">lms</t>
  </si>
  <si>
    <t xml:space="preserve">Learning Management System (LMS)</t>
  </si>
  <si>
    <t xml:space="preserve">نظام إدارة التعلم LMS</t>
  </si>
  <si>
    <t xml:space="preserve">Digital classes, assignments, assessment and parent communication.</t>
  </si>
  <si>
    <t xml:space="preserve">الفصول الرقمية، الواجبات، التقييم، والتواصل مع أولياء الأمور.</t>
  </si>
  <si>
    <t xml:space="preserve">cyan</t>
  </si>
  <si>
    <t xml:space="preserve">elearning.classera.com</t>
  </si>
  <si>
    <t xml:space="preserve">/login</t>
  </si>
  <si>
    <t xml:space="preserve">Live</t>
  </si>
  <si>
    <t xml:space="preserve">tms</t>
  </si>
  <si>
    <t xml:space="preserve">Training Management System (TMS)</t>
  </si>
  <si>
    <t xml:space="preserve">نظام إدارة التدريب TMS</t>
  </si>
  <si>
    <t xml:space="preserve">Plan training programs, registration, attendance and certificates.</t>
  </si>
  <si>
    <t xml:space="preserve">تخطيط البرامج التدريبية، التسجيل، الحضور، والشهادات.</t>
  </si>
  <si>
    <t xml:space="preserve">blue</t>
  </si>
  <si>
    <t xml:space="preserve">leadxeratraining.classera.com</t>
  </si>
  <si>
    <t xml:space="preserve">erp</t>
  </si>
  <si>
    <t xml:space="preserve">C-SmarX ERP</t>
  </si>
  <si>
    <t xml:space="preserve">نظام إدارة المؤسسة C-SmarX</t>
  </si>
  <si>
    <t xml:space="preserve">Admissions, finance, human resources and procurement.</t>
  </si>
  <si>
    <t xml:space="preserve">القبول والتسجيل، المالية، الموارد البشرية، والمشتريات.</t>
  </si>
  <si>
    <t xml:space="preserve">gold</t>
  </si>
  <si>
    <t xml:space="preserve">csmarxtraining.classera.com</t>
  </si>
  <si>
    <t xml:space="preserve">cpay</t>
  </si>
  <si>
    <t xml:space="preserve">C-Pay</t>
  </si>
  <si>
    <t xml:space="preserve">C-Pay للمدفوعات</t>
  </si>
  <si>
    <t xml:space="preserve">Digital fee collection, installment plans and settlements.</t>
  </si>
  <si>
    <t xml:space="preserve">تحصيل الرسوم إلكترونياً، خطط التقسيط، والتسويات.</t>
  </si>
  <si>
    <t xml:space="preserve">pay</t>
  </si>
  <si>
    <t xml:space="preserve">green</t>
  </si>
  <si>
    <t xml:space="preserve">edumalls</t>
  </si>
  <si>
    <t xml:space="preserve">Edumalls</t>
  </si>
  <si>
    <t xml:space="preserve">The education marketplace: content, services and school products.</t>
  </si>
  <si>
    <t xml:space="preserve">المتجر التعليمي: المحتوى، الخدمات، والمنتجات المدرسية.</t>
  </si>
  <si>
    <t xml:space="preserve">mall</t>
  </si>
  <si>
    <t xml:space="preserve">cinspire</t>
  </si>
  <si>
    <t xml:space="preserve">C-Inspire</t>
  </si>
  <si>
    <t xml:space="preserve">A gamified points system that rewards students for behavior, participation and achievement.</t>
  </si>
  <si>
    <t xml:space="preserve">نظام نقاط محفّز يكافئ الطلاب على السلوك والمشاركة والإنجاز.</t>
  </si>
  <si>
    <t xml:space="preserve">spark</t>
  </si>
  <si>
    <t xml:space="preserve">Product Key</t>
  </si>
  <si>
    <t xml:space="preserve">Role Key</t>
  </si>
  <si>
    <t xml:space="preserve">Role Order</t>
  </si>
  <si>
    <t xml:space="preserve">Role (EN)</t>
  </si>
  <si>
    <t xml:space="preserve">Role (AR)</t>
  </si>
  <si>
    <t xml:space="preserve">Track Order</t>
  </si>
  <si>
    <t xml:space="preserve">Track (EN)</t>
  </si>
  <si>
    <t xml:space="preserve">Track (AR)</t>
  </si>
  <si>
    <t xml:space="preserve">Level</t>
  </si>
  <si>
    <t xml:space="preserve">Modules</t>
  </si>
  <si>
    <t xml:space="preserve">Minutes</t>
  </si>
  <si>
    <t xml:space="preserve">Course Link</t>
  </si>
  <si>
    <t xml:space="preserve">Manual Link</t>
  </si>
  <si>
    <t xml:space="preserve">lms-01</t>
  </si>
  <si>
    <t xml:space="preserve">teacher</t>
  </si>
  <si>
    <t xml:space="preserve">Teacher</t>
  </si>
  <si>
    <t xml:space="preserve">معلم</t>
  </si>
  <si>
    <t xml:space="preserve">LMS Essentials for Teachers</t>
  </si>
  <si>
    <t xml:space="preserve">أساسيات LMS للمعلم</t>
  </si>
  <si>
    <t xml:space="preserve">Build your class, upload content, schedule sessions and track attendance.</t>
  </si>
  <si>
    <t xml:space="preserve">إنشاء الفصل، رفع المحتوى، جدولة الحصص، ومتابعة الحضور.</t>
  </si>
  <si>
    <t xml:space="preserve">Essential</t>
  </si>
  <si>
    <t xml:space="preserve">https://manual.classera.com/docs-category/teacher-account/</t>
  </si>
  <si>
    <t xml:space="preserve">lms-02</t>
  </si>
  <si>
    <t xml:space="preserve">Assessment and Grading</t>
  </si>
  <si>
    <t xml:space="preserve">التقييم والدرجات</t>
  </si>
  <si>
    <t xml:space="preserve">Question banks, online exams, auto-grading and performance reports.</t>
  </si>
  <si>
    <t xml:space="preserve">بنوك الأسئلة، الاختبارات الإلكترونية، الرصد التلقائي، وتقارير الأداء.</t>
  </si>
  <si>
    <t xml:space="preserve">Core</t>
  </si>
  <si>
    <t xml:space="preserve">https://manual.classera.com/docs-category/grade-management-teacher/</t>
  </si>
  <si>
    <t xml:space="preserve">lms-03</t>
  </si>
  <si>
    <t xml:space="preserve">leader</t>
  </si>
  <si>
    <t xml:space="preserve">School Leader</t>
  </si>
  <si>
    <t xml:space="preserve">قائد مدرسة</t>
  </si>
  <si>
    <t xml:space="preserve">Leadership Dashboards</t>
  </si>
  <si>
    <t xml:space="preserve">لوحات المتابعة للقيادة المدرسية</t>
  </si>
  <si>
    <t xml:space="preserve">Read usage KPIs, monitor teacher activity and make data-driven decisions.</t>
  </si>
  <si>
    <t xml:space="preserve">قراءة مؤشرات الاستخدام، متابعة أداء المعلمين، واتخاذ قرار مبني على البيانات.</t>
  </si>
  <si>
    <t xml:space="preserve">https://manual.classera.com/docs-category/manager-account/</t>
  </si>
  <si>
    <t xml:space="preserve">lms-04</t>
  </si>
  <si>
    <t xml:space="preserve">student</t>
  </si>
  <si>
    <t xml:space="preserve">Student</t>
  </si>
  <si>
    <t xml:space="preserve">طالب</t>
  </si>
  <si>
    <t xml:space="preserve">Student Quick Start</t>
  </si>
  <si>
    <t xml:space="preserve">دليل الطالب للبدء</t>
  </si>
  <si>
    <t xml:space="preserve">Sign in, assignments, quizzes and reaching your teacher.</t>
  </si>
  <si>
    <t xml:space="preserve">الدخول، الواجبات، الاختبارات، والتواصل مع المعلم.</t>
  </si>
  <si>
    <t xml:space="preserve">https://manual.classera.com/docs-category/student-account/</t>
  </si>
  <si>
    <t xml:space="preserve">lms-05</t>
  </si>
  <si>
    <t xml:space="preserve">parent</t>
  </si>
  <si>
    <t xml:space="preserve">Parent</t>
  </si>
  <si>
    <t xml:space="preserve">ولي أمر</t>
  </si>
  <si>
    <t xml:space="preserve">Parent Quick Start</t>
  </si>
  <si>
    <t xml:space="preserve">دليل ولي الأمر</t>
  </si>
  <si>
    <t xml:space="preserve">Follow attendance, grades and school communication from the app.</t>
  </si>
  <si>
    <t xml:space="preserve">متابعة الحضور والدرجات والتواصل مع المدرسة من التطبيق.</t>
  </si>
  <si>
    <t xml:space="preserve">https://manual.classera.com/docs-category/parent-account/</t>
  </si>
  <si>
    <t xml:space="preserve">lms-06</t>
  </si>
  <si>
    <t xml:space="preserve">itadmin</t>
  </si>
  <si>
    <t xml:space="preserve">System Admin</t>
  </si>
  <si>
    <t xml:space="preserve">مسؤول النظام</t>
  </si>
  <si>
    <t xml:space="preserve">Platform Setup and Administration</t>
  </si>
  <si>
    <t xml:space="preserve">إعداد وإدارة المنصة</t>
  </si>
  <si>
    <t xml:space="preserve">Account structure, roles and permissions, bulk import and integrations.</t>
  </si>
  <si>
    <t xml:space="preserve">هيكلة الحسابات، الأدوار والصلاحيات، الاستيراد الجماعي، والتكاملات.</t>
  </si>
  <si>
    <t xml:space="preserve">Advanced</t>
  </si>
  <si>
    <t xml:space="preserve">https://manual.classera.com/docs-category/administrator-account/</t>
  </si>
  <si>
    <t xml:space="preserve">tms-01</t>
  </si>
  <si>
    <t xml:space="preserve">trmanager</t>
  </si>
  <si>
    <t xml:space="preserve">Training Manager</t>
  </si>
  <si>
    <t xml:space="preserve">مدير التدريب</t>
  </si>
  <si>
    <t xml:space="preserve">Building a Training Program</t>
  </si>
  <si>
    <t xml:space="preserve">بناء البرنامج التدريبي</t>
  </si>
  <si>
    <t xml:space="preserve">Courses, paths, schedules, rooms and resources.</t>
  </si>
  <si>
    <t xml:space="preserve">الدورات، المسارات، الجداول، والقاعات والموارد.</t>
  </si>
  <si>
    <t xml:space="preserve">https://usermanual.leadxera.com/docs-category/administrator/</t>
  </si>
  <si>
    <t xml:space="preserve">tms-02</t>
  </si>
  <si>
    <t xml:space="preserve">Training Reports and Impact KPIs</t>
  </si>
  <si>
    <t xml:space="preserve">تقارير التدريب ومؤشرات الأثر</t>
  </si>
  <si>
    <t xml:space="preserve">Completion rates, attendance, satisfaction and cost per training hour.</t>
  </si>
  <si>
    <t xml:space="preserve">معدلات الإتمام، الحضور، رضا المتدربين، وتكلفة الساعة التدريبية.</t>
  </si>
  <si>
    <t xml:space="preserve">tms-03</t>
  </si>
  <si>
    <t xml:space="preserve">instructor</t>
  </si>
  <si>
    <t xml:space="preserve">Trainer</t>
  </si>
  <si>
    <t xml:space="preserve">مدرب</t>
  </si>
  <si>
    <t xml:space="preserve">Trainer Guide</t>
  </si>
  <si>
    <t xml:space="preserve">دليل المدرب</t>
  </si>
  <si>
    <t xml:space="preserve">Run the session, mark attendance, deliver materials and assess trainees.</t>
  </si>
  <si>
    <t xml:space="preserve">إدارة الجلسة، رصد الحضور، تسليم المواد، وتقييم المتدربين.</t>
  </si>
  <si>
    <t xml:space="preserve">https://usermanual.leadxera.com/docs-category/trainer/</t>
  </si>
  <si>
    <t xml:space="preserve">tms-04</t>
  </si>
  <si>
    <t xml:space="preserve">trainee</t>
  </si>
  <si>
    <t xml:space="preserve">Trainee</t>
  </si>
  <si>
    <t xml:space="preserve">متدرب</t>
  </si>
  <si>
    <t xml:space="preserve">Trainee Guide</t>
  </si>
  <si>
    <t xml:space="preserve">دليل المتدرب</t>
  </si>
  <si>
    <t xml:space="preserve">Enroll in programs, track progress and download your certificate.</t>
  </si>
  <si>
    <t xml:space="preserve">التسجيل في البرامج، متابعة التقدم، وتحميل الشهادة.</t>
  </si>
  <si>
    <t xml:space="preserve">https://usermanual.leadxera.com/docs-category/trainees/</t>
  </si>
  <si>
    <t xml:space="preserve">tms-05</t>
  </si>
  <si>
    <t xml:space="preserve">corporate</t>
  </si>
  <si>
    <t xml:space="preserve">Corporate</t>
  </si>
  <si>
    <t xml:space="preserve">جهة مؤسسية</t>
  </si>
  <si>
    <t xml:space="preserve">Managing Your People</t>
  </si>
  <si>
    <t xml:space="preserve">إدارة منسوبيك</t>
  </si>
  <si>
    <t xml:space="preserve">Enroll your team, follow progress and pull enrollment reports.</t>
  </si>
  <si>
    <t xml:space="preserve">تسجيل فريقك، متابعة التقدم، واستخراج تقارير التسجيل.</t>
  </si>
  <si>
    <t xml:space="preserve">https://usermanual.leadxera.com/docs-category/corporate/</t>
  </si>
  <si>
    <t xml:space="preserve">erp-01</t>
  </si>
  <si>
    <t xml:space="preserve">finance</t>
  </si>
  <si>
    <t xml:space="preserve">Finance Manager</t>
  </si>
  <si>
    <t xml:space="preserve">مدير مالي</t>
  </si>
  <si>
    <t xml:space="preserve">Core Finance Cycle</t>
  </si>
  <si>
    <t xml:space="preserve">الدورة المالية الأساسية</t>
  </si>
  <si>
    <t xml:space="preserve">Tuition fees, invoicing, collections and financial reporting.</t>
  </si>
  <si>
    <t xml:space="preserve">الرسوم الدراسية، الفوترة، التحصيل، والتقارير المالية.</t>
  </si>
  <si>
    <t xml:space="preserve">erp-02</t>
  </si>
  <si>
    <t xml:space="preserve">Budgeting and Financial Analysis</t>
  </si>
  <si>
    <t xml:space="preserve">الموازنات والتحليل المالي</t>
  </si>
  <si>
    <t xml:space="preserve">Build budgets, compare plan vs actual and analyze variances.</t>
  </si>
  <si>
    <t xml:space="preserve">بناء الموازنة، مقارنة المخطط بالفعلي، وتحليل الانحرافات.</t>
  </si>
  <si>
    <t xml:space="preserve">erp-03</t>
  </si>
  <si>
    <t xml:space="preserve">registrar</t>
  </si>
  <si>
    <t xml:space="preserve">Registrar</t>
  </si>
  <si>
    <t xml:space="preserve">شؤون الطلاب</t>
  </si>
  <si>
    <t xml:space="preserve">Admissions and Registration</t>
  </si>
  <si>
    <t xml:space="preserve">القبول والتسجيل</t>
  </si>
  <si>
    <t xml:space="preserve">Student file, enrollment, class allocation and official documents.</t>
  </si>
  <si>
    <t xml:space="preserve">ملف الطالب، التسجيل، توزيع الفصول، والوثائق الرسمية.</t>
  </si>
  <si>
    <t xml:space="preserve">erp-04</t>
  </si>
  <si>
    <t xml:space="preserve">hrofficer</t>
  </si>
  <si>
    <t xml:space="preserve">HR Officer</t>
  </si>
  <si>
    <t xml:space="preserve">موظف موارد بشرية</t>
  </si>
  <si>
    <t xml:space="preserve">HR Operations</t>
  </si>
  <si>
    <t xml:space="preserve">إدارة شؤون الموظفين</t>
  </si>
  <si>
    <t xml:space="preserve">Employee file, attendance and leave, and payroll.</t>
  </si>
  <si>
    <t xml:space="preserve">ملف الموظف، الحضور والإجازات، والرواتب.</t>
  </si>
  <si>
    <t xml:space="preserve">https://usermanual.csmarx.com/docs-category/human-resources/</t>
  </si>
  <si>
    <t xml:space="preserve">erp-05</t>
  </si>
  <si>
    <t xml:space="preserve">procure</t>
  </si>
  <si>
    <t xml:space="preserve">Procurement</t>
  </si>
  <si>
    <t xml:space="preserve">المشتريات والمخازن</t>
  </si>
  <si>
    <t xml:space="preserve">Procurement and Inventory</t>
  </si>
  <si>
    <t xml:space="preserve">المشتريات والمخزون</t>
  </si>
  <si>
    <t xml:space="preserve">Purchase orders, vendors, receiving and asset inventory.</t>
  </si>
  <si>
    <t xml:space="preserve">أوامر الشراء، الموردون، الاستلام، وجرد الأصول.</t>
  </si>
  <si>
    <t xml:space="preserve">erp-06</t>
  </si>
  <si>
    <t xml:space="preserve">System Setup and Permissions</t>
  </si>
  <si>
    <t xml:space="preserve">إعداد النظام والصلاحيات</t>
  </si>
  <si>
    <t xml:space="preserve">Org structure, approval cycles and module-level permissions.</t>
  </si>
  <si>
    <t xml:space="preserve">الهيكل التنظيمي، دورات الاعتماد، والصلاحيات على مستوى الوحدة.</t>
  </si>
  <si>
    <t xml:space="preserve">cpay-01</t>
  </si>
  <si>
    <t xml:space="preserve">finofficer</t>
  </si>
  <si>
    <t xml:space="preserve">Finance Officer</t>
  </si>
  <si>
    <t xml:space="preserve">موظف مالي</t>
  </si>
  <si>
    <t xml:space="preserve">Activating Digital Collection</t>
  </si>
  <si>
    <t xml:space="preserve">تفعيل التحصيل الإلكتروني</t>
  </si>
  <si>
    <t xml:space="preserve">Link fees, issue payment links and run daily follow-up.</t>
  </si>
  <si>
    <t xml:space="preserve">ربط الرسوم، إصدار روابط الدفع، والمتابعة اليومية.</t>
  </si>
  <si>
    <t xml:space="preserve">https://manual.classera.com/docs-category/school-accountant/</t>
  </si>
  <si>
    <t xml:space="preserve">cpay-02</t>
  </si>
  <si>
    <t xml:space="preserve">Reconciliation and Reporting</t>
  </si>
  <si>
    <t xml:space="preserve">التسويات والتقارير</t>
  </si>
  <si>
    <t xml:space="preserve">Match payments, bank settlement and collection reports.</t>
  </si>
  <si>
    <t xml:space="preserve">مطابقة المدفوعات، التسويات البنكية، وتقارير التحصيل.</t>
  </si>
  <si>
    <t xml:space="preserve">cpay-03</t>
  </si>
  <si>
    <t xml:space="preserve">cashier</t>
  </si>
  <si>
    <t xml:space="preserve">Cashier</t>
  </si>
  <si>
    <t xml:space="preserve">أمين صندوق</t>
  </si>
  <si>
    <t xml:space="preserve">Cashier Guide</t>
  </si>
  <si>
    <t xml:space="preserve">دليل أمين الصندوق</t>
  </si>
  <si>
    <t xml:space="preserve">On-site payments, receipts and refunds.</t>
  </si>
  <si>
    <t xml:space="preserve">الدفع الحضوري، الإيصالات، والاسترجاع.</t>
  </si>
  <si>
    <t xml:space="preserve">cpay-04</t>
  </si>
  <si>
    <t xml:space="preserve">Paying as a Parent</t>
  </si>
  <si>
    <t xml:space="preserve">الدفع لولي الأمر</t>
  </si>
  <si>
    <t xml:space="preserve">View your invoice, pay online and use installment plans.</t>
  </si>
  <si>
    <t xml:space="preserve">عرض الفاتورة، الدفع الإلكتروني، وخطط التقسيط.</t>
  </si>
  <si>
    <t xml:space="preserve">https://manual.classera.com/docs-category/c-pay-parent/</t>
  </si>
  <si>
    <t xml:space="preserve">edu-01</t>
  </si>
  <si>
    <t xml:space="preserve">storemgr</t>
  </si>
  <si>
    <t xml:space="preserve">Store Manager</t>
  </si>
  <si>
    <t xml:space="preserve">مدير المتجر</t>
  </si>
  <si>
    <t xml:space="preserve">Setting Up Your Store</t>
  </si>
  <si>
    <t xml:space="preserve">تجهيز المتجر</t>
  </si>
  <si>
    <t xml:space="preserve">Catalog, pricing, offers and order management.</t>
  </si>
  <si>
    <t xml:space="preserve">الكتالوج، التسعير، العروض، وإدارة الطلبات.</t>
  </si>
  <si>
    <t xml:space="preserve">Coming soon</t>
  </si>
  <si>
    <t xml:space="preserve">edu-02</t>
  </si>
  <si>
    <t xml:space="preserve">publisher</t>
  </si>
  <si>
    <t xml:space="preserve">Content Publisher</t>
  </si>
  <si>
    <t xml:space="preserve">ناشر محتوى</t>
  </si>
  <si>
    <t xml:space="preserve">Publishing Educational Content</t>
  </si>
  <si>
    <t xml:space="preserve">نشر المحتوى التعليمي</t>
  </si>
  <si>
    <t xml:space="preserve">Upload content, quality standards, rights and revenue share.</t>
  </si>
  <si>
    <t xml:space="preserve">رفع المحتوى، معايير الجودة، والحقوق ومشاركة الإيراد.</t>
  </si>
  <si>
    <t xml:space="preserve">edu-03</t>
  </si>
  <si>
    <t xml:space="preserve">Sales Analytics</t>
  </si>
  <si>
    <t xml:space="preserve">تحليل المبيعات</t>
  </si>
  <si>
    <t xml:space="preserve">Product performance, conversion rate and pricing decisions.</t>
  </si>
  <si>
    <t xml:space="preserve">أداء المنتجات، معدل التحويل، وقرارات التسعير.</t>
  </si>
  <si>
    <t xml:space="preserve">edu-04</t>
  </si>
  <si>
    <t xml:space="preserve">buyer</t>
  </si>
  <si>
    <t xml:space="preserve">Buyer / Parent</t>
  </si>
  <si>
    <t xml:space="preserve">مشتري / ولي أمر</t>
  </si>
  <si>
    <t xml:space="preserve">Buyer Guide</t>
  </si>
  <si>
    <t xml:space="preserve">دليل الشراء</t>
  </si>
  <si>
    <t xml:space="preserve">Search, order, pay and track.</t>
  </si>
  <si>
    <t xml:space="preserve">البحث، الطلب، الدفع، والمتابعة.</t>
  </si>
  <si>
    <t xml:space="preserve">cin-01</t>
  </si>
  <si>
    <t xml:space="preserve">activity</t>
  </si>
  <si>
    <t xml:space="preserve">Activity Officer</t>
  </si>
  <si>
    <t xml:space="preserve">مسؤول الأنشطة</t>
  </si>
  <si>
    <t xml:space="preserve">Setting Up the Points System</t>
  </si>
  <si>
    <t xml:space="preserve">إعداد نظام النقاط</t>
  </si>
  <si>
    <t xml:space="preserve">Define point categories, values, levels and the reward catalog for your school.</t>
  </si>
  <si>
    <t xml:space="preserve">تحديد فئات النقاط وقيمها ومستوياتها وقائمة المكافآت الخاصة بمدرستك.</t>
  </si>
  <si>
    <t xml:space="preserve">https://manual.classera.com/docs-category/c-inspire-awards-activity-officer/</t>
  </si>
  <si>
    <t xml:space="preserve">cin-02</t>
  </si>
  <si>
    <t xml:space="preserve">Rewards, Badges and Leaderboards</t>
  </si>
  <si>
    <t xml:space="preserve">المكافآت والشارات ولوحات الصدارة</t>
  </si>
  <si>
    <t xml:space="preserve">Design reward tiers, publish leaderboards and run seasonal point campaigns.</t>
  </si>
  <si>
    <t xml:space="preserve">تصميم مستويات المكافآت، نشر لوحات الصدارة، وإطلاق حملات نقاط موسمية.</t>
  </si>
  <si>
    <t xml:space="preserve">cin-03</t>
  </si>
  <si>
    <t xml:space="preserve">Awarding Points in Class</t>
  </si>
  <si>
    <t xml:space="preserve">منح النقاط داخل الفصل</t>
  </si>
  <si>
    <t xml:space="preserve">Give and withdraw points, use quick actions, and keep awarding fair and consistent.</t>
  </si>
  <si>
    <t xml:space="preserve">منح النقاط وسحبها، استخدام الإجراءات السريعة، والحفاظ على عدالة المنح واتساقه.</t>
  </si>
  <si>
    <t xml:space="preserve">https://manual.classera.com/docs-category/c-inspire/</t>
  </si>
  <si>
    <t xml:space="preserve">cin-04</t>
  </si>
  <si>
    <t xml:space="preserve">Earning and Spending Your Points</t>
  </si>
  <si>
    <t xml:space="preserve">اكسب نقاطك واستبدلها</t>
  </si>
  <si>
    <t xml:space="preserve">Track your balance, climb the leaderboard, and redeem points for rewards and badges.</t>
  </si>
  <si>
    <t xml:space="preserve">تابع رصيدك، تقدّم في لوحة الصدارة، واستبدل نقاطك بالمكافآت والشارات.</t>
  </si>
  <si>
    <t xml:space="preserve">https://manual.classera.com/docs-category/c-inspire-awards-and-scores-student/</t>
  </si>
  <si>
    <t xml:space="preserve">cin-05</t>
  </si>
  <si>
    <t xml:space="preserve">Following Your Child's Points</t>
  </si>
  <si>
    <t xml:space="preserve">متابعة نقاط أبنائك</t>
  </si>
  <si>
    <t xml:space="preserve">See points earned, the reasons behind them, and your child's standing.</t>
  </si>
  <si>
    <t xml:space="preserve">اطّلع على النقاط المكتسبة وأسبابها وترتيب ابنك.</t>
  </si>
  <si>
    <t xml:space="preserve">https://manual.classera.com/docs-category/c-inspire-awards-parent/</t>
  </si>
  <si>
    <t xml:space="preserve">Hidden</t>
  </si>
  <si>
    <t xml:space="preserve">book</t>
  </si>
  <si>
    <t xml:space="preserve">chart</t>
  </si>
  <si>
    <t xml:space="preserve">Coverage at a glance</t>
  </si>
  <si>
    <t xml:space="preserve">Counts update automatically from the Tracks sheet.</t>
  </si>
  <si>
    <t xml:space="preserve">Product</t>
  </si>
  <si>
    <t xml:space="preserve">Roles</t>
  </si>
  <si>
    <t xml:space="preserve">Tracks</t>
  </si>
  <si>
    <t xml:space="preserve">Live tracks</t>
  </si>
  <si>
    <t xml:space="preserve">Course links set</t>
  </si>
  <si>
    <t xml:space="preserve">Manual links set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</si>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</sst>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E3350"/>
      <name val="Arial"/>
      <family val="0"/>
      <charset val="1"/>
    </font>
    <font>
      <sz val="10"/>
      <color rgb="FF7A8CA0"/>
      <name val="Arial"/>
      <family val="0"/>
      <charset val="1"/>
    </font>
    <font>
      <sz val="10"/>
      <color rgb="FF1E2E3A"/>
      <name val="Arial"/>
      <family val="0"/>
      <charset val="1"/>
    </font>
    <font>
      <b val="true"/>
      <sz val="12"/>
      <color rgb="FF0E3350"/>
      <name val="Arial"/>
      <family val="0"/>
      <charset val="1"/>
    </font>
    <font>
      <b val="true"/>
      <sz val="10"/>
      <color rgb="FFD68A21"/>
      <name val="Arial"/>
      <family val="0"/>
      <charset val="1"/>
    </font>
    <font>
      <b val="true"/>
      <sz val="10"/>
      <color rgb="FFB4402F"/>
      <name val="Arial"/>
      <family val="0"/>
      <charset val="1"/>
    </font>
    <font>
      <b val="true"/>
      <sz val="10"/>
      <color rgb="FFEAF3F8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color rgb="FF0E335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E3350"/>
        <bgColor rgb="FF1E2E3A"/>
      </patternFill>
    </fill>
    <fill>
      <patternFill patternType="solid">
        <fgColor rgb="FFE2F3F6"/>
        <bgColor rgb="FFEAF3F8"/>
      </patternFill>
    </fill>
    <fill>
      <patternFill patternType="solid">
        <fgColor rgb="FFF2F6FA"/>
        <bgColor rgb="FFEAF3F8"/>
      </patternFill>
    </fill>
    <fill>
      <patternFill patternType="solid">
        <fgColor rgb="FFFFF8E1"/>
        <bgColor rgb="FFF2F6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E6EE"/>
      </left>
      <right style="thin">
        <color rgb="FFDCE6EE"/>
      </right>
      <top style="thin">
        <color rgb="FFDCE6EE"/>
      </top>
      <bottom style="thin">
        <color rgb="FFDCE6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E3350"/>
          <bgColor rgb="FF000000"/>
        </patternFill>
      </fill>
    </dxf>
    <dxf>
      <fill>
        <patternFill patternType="solid">
          <fgColor rgb="FFE2F3F6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6FA"/>
          <bgColor rgb="FF000000"/>
        </patternFill>
      </fill>
    </dxf>
    <dxf>
      <fill>
        <patternFill patternType="solid">
          <fgColor rgb="FFFFF8E1"/>
          <bgColor rgb="FF000000"/>
        </patternFill>
      </fill>
    </dxf>
  </dxfs>
  <colors>
    <indexedColors>
      <rgbColor rgb="FF000000"/>
      <rgbColor rgb="FFF2F6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8CA0"/>
      <rgbColor rgb="FF9999FF"/>
      <rgbColor rgb="FF993366"/>
      <rgbColor rgb="FFFFF8E1"/>
      <rgbColor rgb="FFE2F3F6"/>
      <rgbColor rgb="FF660066"/>
      <rgbColor rgb="FFFF8080"/>
      <rgbColor rgb="FF0066CC"/>
      <rgbColor rgb="FFDCE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68A21"/>
      <rgbColor rgb="FFFF6600"/>
      <rgbColor rgb="FF666699"/>
      <rgbColor rgb="FF969696"/>
      <rgbColor rgb="FF0E3350"/>
      <rgbColor rgb="FF339966"/>
      <rgbColor rgb="FF003300"/>
      <rgbColor rgb="FF333300"/>
      <rgbColor rgb="FFB4402F"/>
      <rgbColor rgb="FF993366"/>
      <rgbColor rgb="FF333399"/>
      <rgbColor rgb="FF1E2E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2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3"/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3"/>
    </row>
    <row r="17" customFormat="false" ht="1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3" t="s">
        <v>13</v>
      </c>
    </row>
    <row r="19" customFormat="false" ht="15" hidden="false" customHeight="false" outlineLevel="0" collapsed="false">
      <c r="B19" s="3" t="s">
        <v>14</v>
      </c>
    </row>
    <row r="20" customFormat="false" ht="15" hidden="false" customHeight="false" outlineLevel="0" collapsed="false">
      <c r="B20" s="3" t="s">
        <v>15</v>
      </c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B22" s="3" t="s">
        <v>17</v>
      </c>
    </row>
    <row r="23" customFormat="false" ht="15" hidden="false" customHeight="false" outlineLevel="0" collapsed="false">
      <c r="B23" s="3" t="s">
        <v>18</v>
      </c>
    </row>
    <row r="24" customFormat="false" ht="15" hidden="false" customHeight="false" outlineLevel="0" collapsed="false">
      <c r="B24" s="3" t="s">
        <v>19</v>
      </c>
    </row>
    <row r="25" customFormat="false" ht="15" hidden="false" customHeight="false" outlineLevel="0" collapsed="false">
      <c r="B25" s="3"/>
    </row>
    <row r="26" customFormat="false" ht="15" hidden="false" customHeight="false" outlineLevel="0" collapsed="false">
      <c r="B26" s="5" t="s">
        <v>20</v>
      </c>
    </row>
    <row r="27" customFormat="false" ht="15" hidden="false" customHeight="false" outlineLevel="0" collapsed="false">
      <c r="B27" s="6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6" min="5" style="0" width="42"/>
    <col collapsed="false" customWidth="true" hidden="false" outlineLevel="0" max="8" min="7" style="0" width="9"/>
    <col collapsed="false" customWidth="true" hidden="false" outlineLevel="0" max="9" min="9" style="0" width="30"/>
    <col collapsed="false" customWidth="true" hidden="false" outlineLevel="0" max="10" min="10" style="0" width="11"/>
    <col collapsed="false" customWidth="true" hidden="false" outlineLevel="0" max="11" min="11" style="0" width="13"/>
  </cols>
  <sheetData>
    <row r="1" customFormat="false" ht="30" hidden="false" customHeight="true" outlineLevel="0" collapsed="false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</row>
    <row r="2" customFormat="false" ht="23.85" hidden="false" customHeight="false" outlineLevel="0" collapsed="false">
      <c r="A2" s="8" t="s">
        <v>33</v>
      </c>
      <c r="B2" s="9" t="n">
        <v>10</v>
      </c>
      <c r="C2" s="10" t="s">
        <v>34</v>
      </c>
      <c r="D2" s="10" t="s">
        <v>35</v>
      </c>
      <c r="E2" s="10" t="s">
        <v>36</v>
      </c>
      <c r="F2" s="10" t="s">
        <v>37</v>
      </c>
      <c r="G2" s="9" t="s">
        <v>33</v>
      </c>
      <c r="H2" s="9" t="s">
        <v>38</v>
      </c>
      <c r="I2" s="11" t="s">
        <v>39</v>
      </c>
      <c r="J2" s="11" t="s">
        <v>40</v>
      </c>
      <c r="K2" s="9" t="s">
        <v>41</v>
      </c>
    </row>
    <row r="3" customFormat="false" ht="23.85" hidden="false" customHeight="false" outlineLevel="0" collapsed="false">
      <c r="A3" s="8" t="s">
        <v>42</v>
      </c>
      <c r="B3" s="12" t="n">
        <v>20</v>
      </c>
      <c r="C3" s="10" t="s">
        <v>43</v>
      </c>
      <c r="D3" s="10" t="s">
        <v>44</v>
      </c>
      <c r="E3" s="10" t="s">
        <v>45</v>
      </c>
      <c r="F3" s="10" t="s">
        <v>46</v>
      </c>
      <c r="G3" s="12" t="s">
        <v>42</v>
      </c>
      <c r="H3" s="12" t="s">
        <v>47</v>
      </c>
      <c r="I3" s="11" t="s">
        <v>48</v>
      </c>
      <c r="J3" s="11" t="s">
        <v>40</v>
      </c>
      <c r="K3" s="12" t="s">
        <v>41</v>
      </c>
    </row>
    <row r="4" customFormat="false" ht="23.85" hidden="false" customHeight="false" outlineLevel="0" collapsed="false">
      <c r="A4" s="8" t="s">
        <v>49</v>
      </c>
      <c r="B4" s="9" t="n">
        <v>30</v>
      </c>
      <c r="C4" s="10" t="s">
        <v>50</v>
      </c>
      <c r="D4" s="10" t="s">
        <v>51</v>
      </c>
      <c r="E4" s="10" t="s">
        <v>52</v>
      </c>
      <c r="F4" s="10" t="s">
        <v>53</v>
      </c>
      <c r="G4" s="9" t="s">
        <v>49</v>
      </c>
      <c r="H4" s="9" t="s">
        <v>54</v>
      </c>
      <c r="I4" s="11" t="s">
        <v>55</v>
      </c>
      <c r="J4" s="11" t="s">
        <v>40</v>
      </c>
      <c r="K4" s="9" t="s">
        <v>41</v>
      </c>
    </row>
    <row r="5" customFormat="false" ht="23.85" hidden="false" customHeight="false" outlineLevel="0" collapsed="false">
      <c r="A5" s="8" t="s">
        <v>56</v>
      </c>
      <c r="B5" s="12" t="n">
        <v>40</v>
      </c>
      <c r="C5" s="10" t="s">
        <v>57</v>
      </c>
      <c r="D5" s="10" t="s">
        <v>58</v>
      </c>
      <c r="E5" s="10" t="s">
        <v>59</v>
      </c>
      <c r="F5" s="10" t="s">
        <v>60</v>
      </c>
      <c r="G5" s="12" t="s">
        <v>61</v>
      </c>
      <c r="H5" s="12" t="s">
        <v>62</v>
      </c>
      <c r="I5" s="11" t="s">
        <v>39</v>
      </c>
      <c r="J5" s="11" t="s">
        <v>40</v>
      </c>
      <c r="K5" s="12" t="s">
        <v>41</v>
      </c>
    </row>
    <row r="6" customFormat="false" ht="23.85" hidden="false" customHeight="false" outlineLevel="0" collapsed="false">
      <c r="A6" s="8" t="s">
        <v>63</v>
      </c>
      <c r="B6" s="9" t="n">
        <v>50</v>
      </c>
      <c r="C6" s="10" t="s">
        <v>64</v>
      </c>
      <c r="D6" s="10" t="s">
        <v>64</v>
      </c>
      <c r="E6" s="10" t="s">
        <v>65</v>
      </c>
      <c r="F6" s="10" t="s">
        <v>66</v>
      </c>
      <c r="G6" s="9" t="s">
        <v>67</v>
      </c>
      <c r="H6" s="9" t="s">
        <v>54</v>
      </c>
      <c r="I6" s="11" t="s">
        <v>48</v>
      </c>
      <c r="J6" s="11" t="s">
        <v>40</v>
      </c>
      <c r="K6" s="9" t="s">
        <v>41</v>
      </c>
    </row>
    <row r="7" customFormat="false" ht="23.85" hidden="false" customHeight="false" outlineLevel="0" collapsed="false">
      <c r="A7" s="8" t="s">
        <v>68</v>
      </c>
      <c r="B7" s="12" t="n">
        <v>60</v>
      </c>
      <c r="C7" s="10" t="s">
        <v>69</v>
      </c>
      <c r="D7" s="10" t="s">
        <v>69</v>
      </c>
      <c r="E7" s="10" t="s">
        <v>70</v>
      </c>
      <c r="F7" s="10" t="s">
        <v>71</v>
      </c>
      <c r="G7" s="12" t="s">
        <v>72</v>
      </c>
      <c r="H7" s="12" t="s">
        <v>38</v>
      </c>
      <c r="I7" s="11" t="s">
        <v>39</v>
      </c>
      <c r="J7" s="11" t="s">
        <v>40</v>
      </c>
      <c r="K7" s="12" t="s">
        <v>41</v>
      </c>
    </row>
  </sheetData>
  <autoFilter ref="A1:K7"/>
  <dataValidations count="3">
    <dataValidation allowBlank="true" errorStyle="stop" operator="between" showDropDown="false" showErrorMessage="false" showInputMessage="false" sqref="G2:G7" type="list">
      <formula1>Lists!$A$2:$A$9</formula1>
      <formula2>0</formula2>
    </dataValidation>
    <dataValidation allowBlank="true" errorStyle="stop" operator="between" showDropDown="false" showErrorMessage="false" showInputMessage="false" sqref="H2:H7" type="list">
      <formula1>Lists!$B$2:$B$5</formula1>
      <formula2>0</formula2>
    </dataValidation>
    <dataValidation allowBlank="true" errorStyle="stop" operator="between" showDropDown="false" showErrorMessage="false" showInputMessage="false" sqref="K2:K7" type="list">
      <formula1>Lists!$D$2:$D$4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7"/>
    <col collapsed="false" customWidth="true" hidden="false" outlineLevel="0" max="8" min="8" style="0" width="32"/>
    <col collapsed="false" customWidth="true" hidden="false" outlineLevel="0" max="9" min="9" style="0" width="28"/>
    <col collapsed="false" customWidth="true" hidden="false" outlineLevel="0" max="11" min="10" style="0" width="44"/>
    <col collapsed="false" customWidth="true" hidden="false" outlineLevel="0" max="12" min="12" style="0" width="10"/>
    <col collapsed="false" customWidth="true" hidden="false" outlineLevel="0" max="14" min="13" style="0" width="8"/>
    <col collapsed="false" customWidth="true" hidden="false" outlineLevel="0" max="15" min="15" style="0" width="34"/>
    <col collapsed="false" customWidth="true" hidden="false" outlineLevel="0" max="16" min="16" style="0" width="40"/>
    <col collapsed="false" customWidth="true" hidden="false" outlineLevel="0" max="17" min="17" style="0" width="13"/>
  </cols>
  <sheetData>
    <row r="1" customFormat="false" ht="30" hidden="false" customHeight="true" outlineLevel="0" collapsed="false">
      <c r="A1" s="7" t="s">
        <v>22</v>
      </c>
      <c r="B1" s="7" t="s">
        <v>73</v>
      </c>
      <c r="C1" s="7" t="s">
        <v>74</v>
      </c>
      <c r="D1" s="7" t="s">
        <v>75</v>
      </c>
      <c r="E1" s="7" t="s">
        <v>76</v>
      </c>
      <c r="F1" s="7" t="s">
        <v>77</v>
      </c>
      <c r="G1" s="7" t="s">
        <v>78</v>
      </c>
      <c r="H1" s="7" t="s">
        <v>79</v>
      </c>
      <c r="I1" s="7" t="s">
        <v>80</v>
      </c>
      <c r="J1" s="7" t="s">
        <v>26</v>
      </c>
      <c r="K1" s="7" t="s">
        <v>27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32</v>
      </c>
    </row>
    <row r="2" customFormat="false" ht="23.85" hidden="false" customHeight="false" outlineLevel="0" collapsed="false">
      <c r="A2" s="8" t="s">
        <v>86</v>
      </c>
      <c r="B2" s="8" t="s">
        <v>33</v>
      </c>
      <c r="C2" s="8" t="s">
        <v>87</v>
      </c>
      <c r="D2" s="9" t="n">
        <v>10</v>
      </c>
      <c r="E2" s="9" t="s">
        <v>88</v>
      </c>
      <c r="F2" s="9" t="s">
        <v>89</v>
      </c>
      <c r="G2" s="9" t="n">
        <v>10</v>
      </c>
      <c r="H2" s="10" t="s">
        <v>90</v>
      </c>
      <c r="I2" s="10" t="s">
        <v>91</v>
      </c>
      <c r="J2" s="10" t="s">
        <v>92</v>
      </c>
      <c r="K2" s="10" t="s">
        <v>93</v>
      </c>
      <c r="L2" s="9" t="s">
        <v>94</v>
      </c>
      <c r="M2" s="9" t="n">
        <v>6</v>
      </c>
      <c r="N2" s="9" t="n">
        <v>55</v>
      </c>
      <c r="O2" s="10"/>
      <c r="P2" s="10" t="s">
        <v>95</v>
      </c>
      <c r="Q2" s="9" t="s">
        <v>41</v>
      </c>
    </row>
    <row r="3" customFormat="false" ht="23.85" hidden="false" customHeight="false" outlineLevel="0" collapsed="false">
      <c r="A3" s="8" t="s">
        <v>96</v>
      </c>
      <c r="B3" s="8" t="s">
        <v>33</v>
      </c>
      <c r="C3" s="8" t="s">
        <v>87</v>
      </c>
      <c r="D3" s="12" t="n">
        <v>10</v>
      </c>
      <c r="E3" s="12" t="s">
        <v>88</v>
      </c>
      <c r="F3" s="12" t="s">
        <v>89</v>
      </c>
      <c r="G3" s="12" t="n">
        <v>20</v>
      </c>
      <c r="H3" s="10" t="s">
        <v>97</v>
      </c>
      <c r="I3" s="10" t="s">
        <v>98</v>
      </c>
      <c r="J3" s="10" t="s">
        <v>99</v>
      </c>
      <c r="K3" s="10" t="s">
        <v>100</v>
      </c>
      <c r="L3" s="12" t="s">
        <v>101</v>
      </c>
      <c r="M3" s="12" t="n">
        <v>5</v>
      </c>
      <c r="N3" s="12" t="n">
        <v>45</v>
      </c>
      <c r="O3" s="10"/>
      <c r="P3" s="10" t="s">
        <v>102</v>
      </c>
      <c r="Q3" s="12" t="s">
        <v>41</v>
      </c>
    </row>
    <row r="4" customFormat="false" ht="23.85" hidden="false" customHeight="false" outlineLevel="0" collapsed="false">
      <c r="A4" s="8" t="s">
        <v>103</v>
      </c>
      <c r="B4" s="8" t="s">
        <v>33</v>
      </c>
      <c r="C4" s="8" t="s">
        <v>104</v>
      </c>
      <c r="D4" s="9" t="n">
        <v>20</v>
      </c>
      <c r="E4" s="9" t="s">
        <v>105</v>
      </c>
      <c r="F4" s="9" t="s">
        <v>106</v>
      </c>
      <c r="G4" s="9" t="n">
        <v>10</v>
      </c>
      <c r="H4" s="10" t="s">
        <v>107</v>
      </c>
      <c r="I4" s="10" t="s">
        <v>108</v>
      </c>
      <c r="J4" s="10" t="s">
        <v>109</v>
      </c>
      <c r="K4" s="10" t="s">
        <v>110</v>
      </c>
      <c r="L4" s="9" t="s">
        <v>101</v>
      </c>
      <c r="M4" s="9" t="n">
        <v>5</v>
      </c>
      <c r="N4" s="9" t="n">
        <v>50</v>
      </c>
      <c r="O4" s="10"/>
      <c r="P4" s="10" t="s">
        <v>111</v>
      </c>
      <c r="Q4" s="9" t="s">
        <v>41</v>
      </c>
    </row>
    <row r="5" customFormat="false" ht="23.85" hidden="false" customHeight="false" outlineLevel="0" collapsed="false">
      <c r="A5" s="8" t="s">
        <v>112</v>
      </c>
      <c r="B5" s="8" t="s">
        <v>33</v>
      </c>
      <c r="C5" s="8" t="s">
        <v>113</v>
      </c>
      <c r="D5" s="12" t="n">
        <v>30</v>
      </c>
      <c r="E5" s="12" t="s">
        <v>114</v>
      </c>
      <c r="F5" s="12" t="s">
        <v>115</v>
      </c>
      <c r="G5" s="12" t="n">
        <v>10</v>
      </c>
      <c r="H5" s="10" t="s">
        <v>116</v>
      </c>
      <c r="I5" s="10" t="s">
        <v>117</v>
      </c>
      <c r="J5" s="10" t="s">
        <v>118</v>
      </c>
      <c r="K5" s="10" t="s">
        <v>119</v>
      </c>
      <c r="L5" s="12" t="s">
        <v>94</v>
      </c>
      <c r="M5" s="12" t="n">
        <v>4</v>
      </c>
      <c r="N5" s="12" t="n">
        <v>30</v>
      </c>
      <c r="O5" s="10"/>
      <c r="P5" s="10" t="s">
        <v>120</v>
      </c>
      <c r="Q5" s="12" t="s">
        <v>41</v>
      </c>
    </row>
    <row r="6" customFormat="false" ht="23.85" hidden="false" customHeight="false" outlineLevel="0" collapsed="false">
      <c r="A6" s="8" t="s">
        <v>121</v>
      </c>
      <c r="B6" s="8" t="s">
        <v>33</v>
      </c>
      <c r="C6" s="8" t="s">
        <v>122</v>
      </c>
      <c r="D6" s="9" t="n">
        <v>40</v>
      </c>
      <c r="E6" s="9" t="s">
        <v>123</v>
      </c>
      <c r="F6" s="9" t="s">
        <v>124</v>
      </c>
      <c r="G6" s="9" t="n">
        <v>10</v>
      </c>
      <c r="H6" s="10" t="s">
        <v>125</v>
      </c>
      <c r="I6" s="10" t="s">
        <v>126</v>
      </c>
      <c r="J6" s="10" t="s">
        <v>127</v>
      </c>
      <c r="K6" s="10" t="s">
        <v>128</v>
      </c>
      <c r="L6" s="9" t="s">
        <v>94</v>
      </c>
      <c r="M6" s="9" t="n">
        <v>3</v>
      </c>
      <c r="N6" s="9" t="n">
        <v>25</v>
      </c>
      <c r="O6" s="10"/>
      <c r="P6" s="10" t="s">
        <v>129</v>
      </c>
      <c r="Q6" s="9" t="s">
        <v>41</v>
      </c>
    </row>
    <row r="7" customFormat="false" ht="23.85" hidden="false" customHeight="false" outlineLevel="0" collapsed="false">
      <c r="A7" s="8" t="s">
        <v>130</v>
      </c>
      <c r="B7" s="8" t="s">
        <v>33</v>
      </c>
      <c r="C7" s="8" t="s">
        <v>131</v>
      </c>
      <c r="D7" s="12" t="n">
        <v>50</v>
      </c>
      <c r="E7" s="12" t="s">
        <v>132</v>
      </c>
      <c r="F7" s="12" t="s">
        <v>133</v>
      </c>
      <c r="G7" s="12" t="n">
        <v>10</v>
      </c>
      <c r="H7" s="10" t="s">
        <v>134</v>
      </c>
      <c r="I7" s="10" t="s">
        <v>135</v>
      </c>
      <c r="J7" s="10" t="s">
        <v>136</v>
      </c>
      <c r="K7" s="10" t="s">
        <v>137</v>
      </c>
      <c r="L7" s="12" t="s">
        <v>138</v>
      </c>
      <c r="M7" s="12" t="n">
        <v>7</v>
      </c>
      <c r="N7" s="12" t="n">
        <v>75</v>
      </c>
      <c r="O7" s="10"/>
      <c r="P7" s="10" t="s">
        <v>139</v>
      </c>
      <c r="Q7" s="12" t="s">
        <v>41</v>
      </c>
    </row>
    <row r="8" customFormat="false" ht="23.85" hidden="false" customHeight="false" outlineLevel="0" collapsed="false">
      <c r="A8" s="8" t="s">
        <v>140</v>
      </c>
      <c r="B8" s="8" t="s">
        <v>42</v>
      </c>
      <c r="C8" s="8" t="s">
        <v>141</v>
      </c>
      <c r="D8" s="9" t="n">
        <v>10</v>
      </c>
      <c r="E8" s="9" t="s">
        <v>142</v>
      </c>
      <c r="F8" s="9" t="s">
        <v>143</v>
      </c>
      <c r="G8" s="9" t="n">
        <v>10</v>
      </c>
      <c r="H8" s="10" t="s">
        <v>144</v>
      </c>
      <c r="I8" s="10" t="s">
        <v>145</v>
      </c>
      <c r="J8" s="10" t="s">
        <v>146</v>
      </c>
      <c r="K8" s="10" t="s">
        <v>147</v>
      </c>
      <c r="L8" s="9" t="s">
        <v>94</v>
      </c>
      <c r="M8" s="9" t="n">
        <v>6</v>
      </c>
      <c r="N8" s="9" t="n">
        <v>60</v>
      </c>
      <c r="O8" s="10"/>
      <c r="P8" s="10" t="s">
        <v>148</v>
      </c>
      <c r="Q8" s="9" t="s">
        <v>41</v>
      </c>
    </row>
    <row r="9" customFormat="false" ht="23.85" hidden="false" customHeight="false" outlineLevel="0" collapsed="false">
      <c r="A9" s="8" t="s">
        <v>149</v>
      </c>
      <c r="B9" s="8" t="s">
        <v>42</v>
      </c>
      <c r="C9" s="8" t="s">
        <v>141</v>
      </c>
      <c r="D9" s="12" t="n">
        <v>10</v>
      </c>
      <c r="E9" s="12" t="s">
        <v>142</v>
      </c>
      <c r="F9" s="12" t="s">
        <v>143</v>
      </c>
      <c r="G9" s="12" t="n">
        <v>20</v>
      </c>
      <c r="H9" s="10" t="s">
        <v>150</v>
      </c>
      <c r="I9" s="10" t="s">
        <v>151</v>
      </c>
      <c r="J9" s="10" t="s">
        <v>152</v>
      </c>
      <c r="K9" s="10" t="s">
        <v>153</v>
      </c>
      <c r="L9" s="12" t="s">
        <v>101</v>
      </c>
      <c r="M9" s="12" t="n">
        <v>5</v>
      </c>
      <c r="N9" s="12" t="n">
        <v>45</v>
      </c>
      <c r="O9" s="10"/>
      <c r="P9" s="10"/>
      <c r="Q9" s="12" t="s">
        <v>41</v>
      </c>
    </row>
    <row r="10" customFormat="false" ht="23.85" hidden="false" customHeight="false" outlineLevel="0" collapsed="false">
      <c r="A10" s="8" t="s">
        <v>154</v>
      </c>
      <c r="B10" s="8" t="s">
        <v>42</v>
      </c>
      <c r="C10" s="8" t="s">
        <v>155</v>
      </c>
      <c r="D10" s="9" t="n">
        <v>20</v>
      </c>
      <c r="E10" s="9" t="s">
        <v>156</v>
      </c>
      <c r="F10" s="9" t="s">
        <v>157</v>
      </c>
      <c r="G10" s="9" t="n">
        <v>10</v>
      </c>
      <c r="H10" s="10" t="s">
        <v>158</v>
      </c>
      <c r="I10" s="10" t="s">
        <v>159</v>
      </c>
      <c r="J10" s="10" t="s">
        <v>160</v>
      </c>
      <c r="K10" s="10" t="s">
        <v>161</v>
      </c>
      <c r="L10" s="9" t="s">
        <v>94</v>
      </c>
      <c r="M10" s="9" t="n">
        <v>4</v>
      </c>
      <c r="N10" s="9" t="n">
        <v>35</v>
      </c>
      <c r="O10" s="10"/>
      <c r="P10" s="10" t="s">
        <v>162</v>
      </c>
      <c r="Q10" s="9" t="s">
        <v>41</v>
      </c>
    </row>
    <row r="11" customFormat="false" ht="23.85" hidden="false" customHeight="false" outlineLevel="0" collapsed="false">
      <c r="A11" s="8" t="s">
        <v>163</v>
      </c>
      <c r="B11" s="8" t="s">
        <v>42</v>
      </c>
      <c r="C11" s="8" t="s">
        <v>164</v>
      </c>
      <c r="D11" s="12" t="n">
        <v>30</v>
      </c>
      <c r="E11" s="12" t="s">
        <v>165</v>
      </c>
      <c r="F11" s="12" t="s">
        <v>166</v>
      </c>
      <c r="G11" s="12" t="n">
        <v>10</v>
      </c>
      <c r="H11" s="10" t="s">
        <v>167</v>
      </c>
      <c r="I11" s="10" t="s">
        <v>168</v>
      </c>
      <c r="J11" s="10" t="s">
        <v>169</v>
      </c>
      <c r="K11" s="10" t="s">
        <v>170</v>
      </c>
      <c r="L11" s="12" t="s">
        <v>94</v>
      </c>
      <c r="M11" s="12" t="n">
        <v>3</v>
      </c>
      <c r="N11" s="12" t="n">
        <v>20</v>
      </c>
      <c r="O11" s="10"/>
      <c r="P11" s="10" t="s">
        <v>171</v>
      </c>
      <c r="Q11" s="12" t="s">
        <v>41</v>
      </c>
    </row>
    <row r="12" customFormat="false" ht="23.85" hidden="false" customHeight="false" outlineLevel="0" collapsed="false">
      <c r="A12" s="8" t="s">
        <v>172</v>
      </c>
      <c r="B12" s="8" t="s">
        <v>42</v>
      </c>
      <c r="C12" s="8" t="s">
        <v>173</v>
      </c>
      <c r="D12" s="9" t="n">
        <v>40</v>
      </c>
      <c r="E12" s="9" t="s">
        <v>174</v>
      </c>
      <c r="F12" s="9" t="s">
        <v>175</v>
      </c>
      <c r="G12" s="9" t="n">
        <v>10</v>
      </c>
      <c r="H12" s="10" t="s">
        <v>176</v>
      </c>
      <c r="I12" s="10" t="s">
        <v>177</v>
      </c>
      <c r="J12" s="10" t="s">
        <v>178</v>
      </c>
      <c r="K12" s="10" t="s">
        <v>179</v>
      </c>
      <c r="L12" s="9" t="s">
        <v>101</v>
      </c>
      <c r="M12" s="9" t="n">
        <v>3</v>
      </c>
      <c r="N12" s="9" t="n">
        <v>25</v>
      </c>
      <c r="O12" s="10"/>
      <c r="P12" s="10" t="s">
        <v>180</v>
      </c>
      <c r="Q12" s="9" t="s">
        <v>41</v>
      </c>
    </row>
    <row r="13" customFormat="false" ht="23.85" hidden="false" customHeight="false" outlineLevel="0" collapsed="false">
      <c r="A13" s="8" t="s">
        <v>181</v>
      </c>
      <c r="B13" s="8" t="s">
        <v>49</v>
      </c>
      <c r="C13" s="8" t="s">
        <v>182</v>
      </c>
      <c r="D13" s="12" t="n">
        <v>10</v>
      </c>
      <c r="E13" s="12" t="s">
        <v>183</v>
      </c>
      <c r="F13" s="12" t="s">
        <v>184</v>
      </c>
      <c r="G13" s="12" t="n">
        <v>10</v>
      </c>
      <c r="H13" s="10" t="s">
        <v>185</v>
      </c>
      <c r="I13" s="10" t="s">
        <v>186</v>
      </c>
      <c r="J13" s="10" t="s">
        <v>187</v>
      </c>
      <c r="K13" s="10" t="s">
        <v>188</v>
      </c>
      <c r="L13" s="12" t="s">
        <v>94</v>
      </c>
      <c r="M13" s="12" t="n">
        <v>6</v>
      </c>
      <c r="N13" s="12" t="n">
        <v>65</v>
      </c>
      <c r="O13" s="10"/>
      <c r="P13" s="10"/>
      <c r="Q13" s="12" t="s">
        <v>41</v>
      </c>
    </row>
    <row r="14" customFormat="false" ht="23.85" hidden="false" customHeight="false" outlineLevel="0" collapsed="false">
      <c r="A14" s="8" t="s">
        <v>189</v>
      </c>
      <c r="B14" s="8" t="s">
        <v>49</v>
      </c>
      <c r="C14" s="8" t="s">
        <v>182</v>
      </c>
      <c r="D14" s="9" t="n">
        <v>10</v>
      </c>
      <c r="E14" s="9" t="s">
        <v>183</v>
      </c>
      <c r="F14" s="9" t="s">
        <v>184</v>
      </c>
      <c r="G14" s="9" t="n">
        <v>20</v>
      </c>
      <c r="H14" s="10" t="s">
        <v>190</v>
      </c>
      <c r="I14" s="10" t="s">
        <v>191</v>
      </c>
      <c r="J14" s="10" t="s">
        <v>192</v>
      </c>
      <c r="K14" s="10" t="s">
        <v>193</v>
      </c>
      <c r="L14" s="9" t="s">
        <v>138</v>
      </c>
      <c r="M14" s="9" t="n">
        <v>4</v>
      </c>
      <c r="N14" s="9" t="n">
        <v>45</v>
      </c>
      <c r="O14" s="10"/>
      <c r="P14" s="10"/>
      <c r="Q14" s="9" t="s">
        <v>41</v>
      </c>
    </row>
    <row r="15" customFormat="false" ht="23.85" hidden="false" customHeight="false" outlineLevel="0" collapsed="false">
      <c r="A15" s="8" t="s">
        <v>194</v>
      </c>
      <c r="B15" s="8" t="s">
        <v>49</v>
      </c>
      <c r="C15" s="8" t="s">
        <v>195</v>
      </c>
      <c r="D15" s="12" t="n">
        <v>20</v>
      </c>
      <c r="E15" s="12" t="s">
        <v>196</v>
      </c>
      <c r="F15" s="12" t="s">
        <v>197</v>
      </c>
      <c r="G15" s="12" t="n">
        <v>10</v>
      </c>
      <c r="H15" s="10" t="s">
        <v>198</v>
      </c>
      <c r="I15" s="10" t="s">
        <v>199</v>
      </c>
      <c r="J15" s="10" t="s">
        <v>200</v>
      </c>
      <c r="K15" s="10" t="s">
        <v>201</v>
      </c>
      <c r="L15" s="12" t="s">
        <v>94</v>
      </c>
      <c r="M15" s="12" t="n">
        <v>5</v>
      </c>
      <c r="N15" s="12" t="n">
        <v>50</v>
      </c>
      <c r="O15" s="10"/>
      <c r="P15" s="10"/>
      <c r="Q15" s="12" t="s">
        <v>41</v>
      </c>
    </row>
    <row r="16" customFormat="false" ht="23.85" hidden="false" customHeight="false" outlineLevel="0" collapsed="false">
      <c r="A16" s="8" t="s">
        <v>202</v>
      </c>
      <c r="B16" s="8" t="s">
        <v>49</v>
      </c>
      <c r="C16" s="8" t="s">
        <v>203</v>
      </c>
      <c r="D16" s="9" t="n">
        <v>30</v>
      </c>
      <c r="E16" s="9" t="s">
        <v>204</v>
      </c>
      <c r="F16" s="9" t="s">
        <v>205</v>
      </c>
      <c r="G16" s="9" t="n">
        <v>10</v>
      </c>
      <c r="H16" s="10" t="s">
        <v>206</v>
      </c>
      <c r="I16" s="10" t="s">
        <v>207</v>
      </c>
      <c r="J16" s="10" t="s">
        <v>208</v>
      </c>
      <c r="K16" s="10" t="s">
        <v>209</v>
      </c>
      <c r="L16" s="9" t="s">
        <v>101</v>
      </c>
      <c r="M16" s="9" t="n">
        <v>5</v>
      </c>
      <c r="N16" s="9" t="n">
        <v>50</v>
      </c>
      <c r="O16" s="10"/>
      <c r="P16" s="10" t="s">
        <v>210</v>
      </c>
      <c r="Q16" s="9" t="s">
        <v>41</v>
      </c>
    </row>
    <row r="17" customFormat="false" ht="23.85" hidden="false" customHeight="false" outlineLevel="0" collapsed="false">
      <c r="A17" s="8" t="s">
        <v>211</v>
      </c>
      <c r="B17" s="8" t="s">
        <v>49</v>
      </c>
      <c r="C17" s="8" t="s">
        <v>212</v>
      </c>
      <c r="D17" s="12" t="n">
        <v>40</v>
      </c>
      <c r="E17" s="12" t="s">
        <v>213</v>
      </c>
      <c r="F17" s="12" t="s">
        <v>214</v>
      </c>
      <c r="G17" s="12" t="n">
        <v>10</v>
      </c>
      <c r="H17" s="10" t="s">
        <v>215</v>
      </c>
      <c r="I17" s="10" t="s">
        <v>216</v>
      </c>
      <c r="J17" s="10" t="s">
        <v>217</v>
      </c>
      <c r="K17" s="10" t="s">
        <v>218</v>
      </c>
      <c r="L17" s="12" t="s">
        <v>101</v>
      </c>
      <c r="M17" s="12" t="n">
        <v>4</v>
      </c>
      <c r="N17" s="12" t="n">
        <v>40</v>
      </c>
      <c r="O17" s="10"/>
      <c r="P17" s="10"/>
      <c r="Q17" s="12" t="s">
        <v>41</v>
      </c>
    </row>
    <row r="18" customFormat="false" ht="23.85" hidden="false" customHeight="false" outlineLevel="0" collapsed="false">
      <c r="A18" s="8" t="s">
        <v>219</v>
      </c>
      <c r="B18" s="8" t="s">
        <v>49</v>
      </c>
      <c r="C18" s="8" t="s">
        <v>131</v>
      </c>
      <c r="D18" s="9" t="n">
        <v>50</v>
      </c>
      <c r="E18" s="9" t="s">
        <v>132</v>
      </c>
      <c r="F18" s="9" t="s">
        <v>133</v>
      </c>
      <c r="G18" s="9" t="n">
        <v>10</v>
      </c>
      <c r="H18" s="10" t="s">
        <v>220</v>
      </c>
      <c r="I18" s="10" t="s">
        <v>221</v>
      </c>
      <c r="J18" s="10" t="s">
        <v>222</v>
      </c>
      <c r="K18" s="10" t="s">
        <v>223</v>
      </c>
      <c r="L18" s="9" t="s">
        <v>138</v>
      </c>
      <c r="M18" s="9" t="n">
        <v>6</v>
      </c>
      <c r="N18" s="9" t="n">
        <v>70</v>
      </c>
      <c r="O18" s="10"/>
      <c r="P18" s="10"/>
      <c r="Q18" s="9" t="s">
        <v>41</v>
      </c>
    </row>
    <row r="19" customFormat="false" ht="23.85" hidden="false" customHeight="false" outlineLevel="0" collapsed="false">
      <c r="A19" s="8" t="s">
        <v>224</v>
      </c>
      <c r="B19" s="8" t="s">
        <v>56</v>
      </c>
      <c r="C19" s="8" t="s">
        <v>225</v>
      </c>
      <c r="D19" s="12" t="n">
        <v>10</v>
      </c>
      <c r="E19" s="12" t="s">
        <v>226</v>
      </c>
      <c r="F19" s="12" t="s">
        <v>227</v>
      </c>
      <c r="G19" s="12" t="n">
        <v>10</v>
      </c>
      <c r="H19" s="10" t="s">
        <v>228</v>
      </c>
      <c r="I19" s="10" t="s">
        <v>229</v>
      </c>
      <c r="J19" s="10" t="s">
        <v>230</v>
      </c>
      <c r="K19" s="10" t="s">
        <v>231</v>
      </c>
      <c r="L19" s="12" t="s">
        <v>94</v>
      </c>
      <c r="M19" s="12" t="n">
        <v>5</v>
      </c>
      <c r="N19" s="12" t="n">
        <v>45</v>
      </c>
      <c r="O19" s="10"/>
      <c r="P19" s="10" t="s">
        <v>232</v>
      </c>
      <c r="Q19" s="12" t="s">
        <v>41</v>
      </c>
    </row>
    <row r="20" customFormat="false" ht="23.85" hidden="false" customHeight="false" outlineLevel="0" collapsed="false">
      <c r="A20" s="8" t="s">
        <v>233</v>
      </c>
      <c r="B20" s="8" t="s">
        <v>56</v>
      </c>
      <c r="C20" s="8" t="s">
        <v>225</v>
      </c>
      <c r="D20" s="9" t="n">
        <v>10</v>
      </c>
      <c r="E20" s="9" t="s">
        <v>226</v>
      </c>
      <c r="F20" s="9" t="s">
        <v>227</v>
      </c>
      <c r="G20" s="9" t="n">
        <v>20</v>
      </c>
      <c r="H20" s="10" t="s">
        <v>234</v>
      </c>
      <c r="I20" s="10" t="s">
        <v>235</v>
      </c>
      <c r="J20" s="10" t="s">
        <v>236</v>
      </c>
      <c r="K20" s="10" t="s">
        <v>237</v>
      </c>
      <c r="L20" s="9" t="s">
        <v>101</v>
      </c>
      <c r="M20" s="9" t="n">
        <v>4</v>
      </c>
      <c r="N20" s="9" t="n">
        <v>35</v>
      </c>
      <c r="O20" s="10"/>
      <c r="P20" s="10"/>
      <c r="Q20" s="9" t="s">
        <v>41</v>
      </c>
    </row>
    <row r="21" customFormat="false" ht="15" hidden="false" customHeight="false" outlineLevel="0" collapsed="false">
      <c r="A21" s="8" t="s">
        <v>238</v>
      </c>
      <c r="B21" s="8" t="s">
        <v>56</v>
      </c>
      <c r="C21" s="8" t="s">
        <v>239</v>
      </c>
      <c r="D21" s="12" t="n">
        <v>20</v>
      </c>
      <c r="E21" s="12" t="s">
        <v>240</v>
      </c>
      <c r="F21" s="12" t="s">
        <v>241</v>
      </c>
      <c r="G21" s="12" t="n">
        <v>10</v>
      </c>
      <c r="H21" s="10" t="s">
        <v>242</v>
      </c>
      <c r="I21" s="10" t="s">
        <v>243</v>
      </c>
      <c r="J21" s="10" t="s">
        <v>244</v>
      </c>
      <c r="K21" s="10" t="s">
        <v>245</v>
      </c>
      <c r="L21" s="12" t="s">
        <v>94</v>
      </c>
      <c r="M21" s="12" t="n">
        <v>3</v>
      </c>
      <c r="N21" s="12" t="n">
        <v>25</v>
      </c>
      <c r="O21" s="10"/>
      <c r="P21" s="10"/>
      <c r="Q21" s="12" t="s">
        <v>41</v>
      </c>
    </row>
    <row r="22" customFormat="false" ht="23.85" hidden="false" customHeight="false" outlineLevel="0" collapsed="false">
      <c r="A22" s="8" t="s">
        <v>246</v>
      </c>
      <c r="B22" s="8" t="s">
        <v>56</v>
      </c>
      <c r="C22" s="8" t="s">
        <v>122</v>
      </c>
      <c r="D22" s="9" t="n">
        <v>30</v>
      </c>
      <c r="E22" s="9" t="s">
        <v>123</v>
      </c>
      <c r="F22" s="9" t="s">
        <v>124</v>
      </c>
      <c r="G22" s="9" t="n">
        <v>10</v>
      </c>
      <c r="H22" s="10" t="s">
        <v>247</v>
      </c>
      <c r="I22" s="10" t="s">
        <v>248</v>
      </c>
      <c r="J22" s="10" t="s">
        <v>249</v>
      </c>
      <c r="K22" s="10" t="s">
        <v>250</v>
      </c>
      <c r="L22" s="9" t="s">
        <v>94</v>
      </c>
      <c r="M22" s="9" t="n">
        <v>2</v>
      </c>
      <c r="N22" s="9" t="n">
        <v>15</v>
      </c>
      <c r="O22" s="10"/>
      <c r="P22" s="10" t="s">
        <v>251</v>
      </c>
      <c r="Q22" s="9" t="s">
        <v>41</v>
      </c>
    </row>
    <row r="23" customFormat="false" ht="15" hidden="false" customHeight="false" outlineLevel="0" collapsed="false">
      <c r="A23" s="8" t="s">
        <v>252</v>
      </c>
      <c r="B23" s="8" t="s">
        <v>63</v>
      </c>
      <c r="C23" s="8" t="s">
        <v>253</v>
      </c>
      <c r="D23" s="12" t="n">
        <v>10</v>
      </c>
      <c r="E23" s="12" t="s">
        <v>254</v>
      </c>
      <c r="F23" s="12" t="s">
        <v>255</v>
      </c>
      <c r="G23" s="12" t="n">
        <v>10</v>
      </c>
      <c r="H23" s="10" t="s">
        <v>256</v>
      </c>
      <c r="I23" s="10" t="s">
        <v>257</v>
      </c>
      <c r="J23" s="10" t="s">
        <v>258</v>
      </c>
      <c r="K23" s="10" t="s">
        <v>259</v>
      </c>
      <c r="L23" s="12" t="s">
        <v>94</v>
      </c>
      <c r="M23" s="12" t="n">
        <v>5</v>
      </c>
      <c r="N23" s="12" t="n">
        <v>50</v>
      </c>
      <c r="O23" s="10"/>
      <c r="P23" s="10"/>
      <c r="Q23" s="12" t="s">
        <v>260</v>
      </c>
    </row>
    <row r="24" customFormat="false" ht="23.85" hidden="false" customHeight="false" outlineLevel="0" collapsed="false">
      <c r="A24" s="8" t="s">
        <v>261</v>
      </c>
      <c r="B24" s="8" t="s">
        <v>63</v>
      </c>
      <c r="C24" s="8" t="s">
        <v>262</v>
      </c>
      <c r="D24" s="9" t="n">
        <v>20</v>
      </c>
      <c r="E24" s="9" t="s">
        <v>263</v>
      </c>
      <c r="F24" s="9" t="s">
        <v>264</v>
      </c>
      <c r="G24" s="9" t="n">
        <v>10</v>
      </c>
      <c r="H24" s="10" t="s">
        <v>265</v>
      </c>
      <c r="I24" s="10" t="s">
        <v>266</v>
      </c>
      <c r="J24" s="10" t="s">
        <v>267</v>
      </c>
      <c r="K24" s="10" t="s">
        <v>268</v>
      </c>
      <c r="L24" s="9" t="s">
        <v>101</v>
      </c>
      <c r="M24" s="9" t="n">
        <v>4</v>
      </c>
      <c r="N24" s="9" t="n">
        <v>40</v>
      </c>
      <c r="O24" s="10"/>
      <c r="P24" s="10"/>
      <c r="Q24" s="9" t="s">
        <v>260</v>
      </c>
    </row>
    <row r="25" customFormat="false" ht="23.85" hidden="false" customHeight="false" outlineLevel="0" collapsed="false">
      <c r="A25" s="8" t="s">
        <v>269</v>
      </c>
      <c r="B25" s="8" t="s">
        <v>63</v>
      </c>
      <c r="C25" s="8" t="s">
        <v>253</v>
      </c>
      <c r="D25" s="12" t="n">
        <v>10</v>
      </c>
      <c r="E25" s="12" t="s">
        <v>254</v>
      </c>
      <c r="F25" s="12" t="s">
        <v>255</v>
      </c>
      <c r="G25" s="12" t="n">
        <v>20</v>
      </c>
      <c r="H25" s="10" t="s">
        <v>270</v>
      </c>
      <c r="I25" s="10" t="s">
        <v>271</v>
      </c>
      <c r="J25" s="10" t="s">
        <v>272</v>
      </c>
      <c r="K25" s="10" t="s">
        <v>273</v>
      </c>
      <c r="L25" s="12" t="s">
        <v>138</v>
      </c>
      <c r="M25" s="12" t="n">
        <v>4</v>
      </c>
      <c r="N25" s="12" t="n">
        <v>35</v>
      </c>
      <c r="O25" s="10"/>
      <c r="P25" s="10"/>
      <c r="Q25" s="12" t="s">
        <v>260</v>
      </c>
    </row>
    <row r="26" customFormat="false" ht="15" hidden="false" customHeight="false" outlineLevel="0" collapsed="false">
      <c r="A26" s="8" t="s">
        <v>274</v>
      </c>
      <c r="B26" s="8" t="s">
        <v>63</v>
      </c>
      <c r="C26" s="8" t="s">
        <v>275</v>
      </c>
      <c r="D26" s="9" t="n">
        <v>30</v>
      </c>
      <c r="E26" s="9" t="s">
        <v>276</v>
      </c>
      <c r="F26" s="9" t="s">
        <v>277</v>
      </c>
      <c r="G26" s="9" t="n">
        <v>10</v>
      </c>
      <c r="H26" s="10" t="s">
        <v>278</v>
      </c>
      <c r="I26" s="10" t="s">
        <v>279</v>
      </c>
      <c r="J26" s="10" t="s">
        <v>280</v>
      </c>
      <c r="K26" s="10" t="s">
        <v>281</v>
      </c>
      <c r="L26" s="9" t="s">
        <v>94</v>
      </c>
      <c r="M26" s="9" t="n">
        <v>2</v>
      </c>
      <c r="N26" s="9" t="n">
        <v>15</v>
      </c>
      <c r="O26" s="10"/>
      <c r="P26" s="10"/>
      <c r="Q26" s="9" t="s">
        <v>260</v>
      </c>
    </row>
    <row r="27" customFormat="false" ht="23.85" hidden="false" customHeight="false" outlineLevel="0" collapsed="false">
      <c r="A27" s="8" t="s">
        <v>282</v>
      </c>
      <c r="B27" s="8" t="s">
        <v>68</v>
      </c>
      <c r="C27" s="8" t="s">
        <v>283</v>
      </c>
      <c r="D27" s="12" t="n">
        <v>10</v>
      </c>
      <c r="E27" s="12" t="s">
        <v>284</v>
      </c>
      <c r="F27" s="12" t="s">
        <v>285</v>
      </c>
      <c r="G27" s="12" t="n">
        <v>10</v>
      </c>
      <c r="H27" s="10" t="s">
        <v>286</v>
      </c>
      <c r="I27" s="10" t="s">
        <v>287</v>
      </c>
      <c r="J27" s="10" t="s">
        <v>288</v>
      </c>
      <c r="K27" s="10" t="s">
        <v>289</v>
      </c>
      <c r="L27" s="12" t="s">
        <v>101</v>
      </c>
      <c r="M27" s="12" t="n">
        <v>5</v>
      </c>
      <c r="N27" s="12" t="n">
        <v>45</v>
      </c>
      <c r="O27" s="10"/>
      <c r="P27" s="10" t="s">
        <v>290</v>
      </c>
      <c r="Q27" s="12" t="s">
        <v>41</v>
      </c>
    </row>
    <row r="28" customFormat="false" ht="23.85" hidden="false" customHeight="false" outlineLevel="0" collapsed="false">
      <c r="A28" s="8" t="s">
        <v>291</v>
      </c>
      <c r="B28" s="8" t="s">
        <v>68</v>
      </c>
      <c r="C28" s="8" t="s">
        <v>283</v>
      </c>
      <c r="D28" s="9" t="n">
        <v>10</v>
      </c>
      <c r="E28" s="9" t="s">
        <v>284</v>
      </c>
      <c r="F28" s="9" t="s">
        <v>285</v>
      </c>
      <c r="G28" s="9" t="n">
        <v>20</v>
      </c>
      <c r="H28" s="10" t="s">
        <v>292</v>
      </c>
      <c r="I28" s="10" t="s">
        <v>293</v>
      </c>
      <c r="J28" s="10" t="s">
        <v>294</v>
      </c>
      <c r="K28" s="10" t="s">
        <v>295</v>
      </c>
      <c r="L28" s="9" t="s">
        <v>138</v>
      </c>
      <c r="M28" s="9" t="n">
        <v>4</v>
      </c>
      <c r="N28" s="9" t="n">
        <v>35</v>
      </c>
      <c r="O28" s="10"/>
      <c r="P28" s="10"/>
      <c r="Q28" s="9" t="s">
        <v>41</v>
      </c>
    </row>
    <row r="29" customFormat="false" ht="23.85" hidden="false" customHeight="false" outlineLevel="0" collapsed="false">
      <c r="A29" s="8" t="s">
        <v>296</v>
      </c>
      <c r="B29" s="8" t="s">
        <v>68</v>
      </c>
      <c r="C29" s="8" t="s">
        <v>87</v>
      </c>
      <c r="D29" s="12" t="n">
        <v>20</v>
      </c>
      <c r="E29" s="12" t="s">
        <v>88</v>
      </c>
      <c r="F29" s="12" t="s">
        <v>89</v>
      </c>
      <c r="G29" s="12" t="n">
        <v>10</v>
      </c>
      <c r="H29" s="10" t="s">
        <v>297</v>
      </c>
      <c r="I29" s="10" t="s">
        <v>298</v>
      </c>
      <c r="J29" s="10" t="s">
        <v>299</v>
      </c>
      <c r="K29" s="10" t="s">
        <v>300</v>
      </c>
      <c r="L29" s="12" t="s">
        <v>94</v>
      </c>
      <c r="M29" s="12" t="n">
        <v>3</v>
      </c>
      <c r="N29" s="12" t="n">
        <v>25</v>
      </c>
      <c r="O29" s="10"/>
      <c r="P29" s="10" t="s">
        <v>301</v>
      </c>
      <c r="Q29" s="12" t="s">
        <v>41</v>
      </c>
    </row>
    <row r="30" customFormat="false" ht="23.85" hidden="false" customHeight="false" outlineLevel="0" collapsed="false">
      <c r="A30" s="8" t="s">
        <v>302</v>
      </c>
      <c r="B30" s="8" t="s">
        <v>68</v>
      </c>
      <c r="C30" s="8" t="s">
        <v>113</v>
      </c>
      <c r="D30" s="9" t="n">
        <v>30</v>
      </c>
      <c r="E30" s="9" t="s">
        <v>114</v>
      </c>
      <c r="F30" s="9" t="s">
        <v>115</v>
      </c>
      <c r="G30" s="9" t="n">
        <v>10</v>
      </c>
      <c r="H30" s="10" t="s">
        <v>303</v>
      </c>
      <c r="I30" s="10" t="s">
        <v>304</v>
      </c>
      <c r="J30" s="10" t="s">
        <v>305</v>
      </c>
      <c r="K30" s="10" t="s">
        <v>306</v>
      </c>
      <c r="L30" s="9" t="s">
        <v>94</v>
      </c>
      <c r="M30" s="9" t="n">
        <v>3</v>
      </c>
      <c r="N30" s="9" t="n">
        <v>20</v>
      </c>
      <c r="O30" s="10"/>
      <c r="P30" s="10" t="s">
        <v>307</v>
      </c>
      <c r="Q30" s="9" t="s">
        <v>41</v>
      </c>
    </row>
    <row r="31" customFormat="false" ht="23.85" hidden="false" customHeight="false" outlineLevel="0" collapsed="false">
      <c r="A31" s="8" t="s">
        <v>308</v>
      </c>
      <c r="B31" s="8" t="s">
        <v>68</v>
      </c>
      <c r="C31" s="8" t="s">
        <v>122</v>
      </c>
      <c r="D31" s="12" t="n">
        <v>40</v>
      </c>
      <c r="E31" s="12" t="s">
        <v>123</v>
      </c>
      <c r="F31" s="12" t="s">
        <v>124</v>
      </c>
      <c r="G31" s="12" t="n">
        <v>10</v>
      </c>
      <c r="H31" s="10" t="s">
        <v>309</v>
      </c>
      <c r="I31" s="10" t="s">
        <v>310</v>
      </c>
      <c r="J31" s="10" t="s">
        <v>311</v>
      </c>
      <c r="K31" s="10" t="s">
        <v>312</v>
      </c>
      <c r="L31" s="12" t="s">
        <v>94</v>
      </c>
      <c r="M31" s="12" t="n">
        <v>2</v>
      </c>
      <c r="N31" s="12" t="n">
        <v>15</v>
      </c>
      <c r="O31" s="10"/>
      <c r="P31" s="10" t="s">
        <v>313</v>
      </c>
      <c r="Q31" s="12" t="s">
        <v>41</v>
      </c>
    </row>
  </sheetData>
  <autoFilter ref="A1:Q31"/>
  <dataValidations count="2">
    <dataValidation allowBlank="true" errorStyle="stop" operator="between" showDropDown="false" showErrorMessage="false" showInputMessage="false" sqref="L2:L31" type="list">
      <formula1>Lists!$C$2:$C$4</formula1>
      <formula2>0</formula2>
    </dataValidation>
    <dataValidation allowBlank="true" errorStyle="stop" operator="between" showDropDown="false" showErrorMessage="false" showInputMessage="false" sqref="Q2:Q31" type="list">
      <formula1>Lists!$D$2:$D$4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5"/>
  </cols>
  <sheetData>
    <row r="1" customFormat="false" ht="15" hidden="false" customHeight="false" outlineLevel="0" collapsed="false">
      <c r="A1" s="13" t="s">
        <v>28</v>
      </c>
      <c r="B1" s="13" t="s">
        <v>29</v>
      </c>
      <c r="C1" s="13" t="s">
        <v>81</v>
      </c>
      <c r="D1" s="13" t="s">
        <v>32</v>
      </c>
    </row>
    <row r="2" customFormat="false" ht="15" hidden="false" customHeight="false" outlineLevel="0" collapsed="false">
      <c r="A2" s="14" t="s">
        <v>33</v>
      </c>
      <c r="B2" s="14" t="s">
        <v>38</v>
      </c>
      <c r="C2" s="14" t="s">
        <v>94</v>
      </c>
      <c r="D2" s="14" t="s">
        <v>41</v>
      </c>
    </row>
    <row r="3" customFormat="false" ht="15" hidden="false" customHeight="false" outlineLevel="0" collapsed="false">
      <c r="A3" s="14" t="s">
        <v>42</v>
      </c>
      <c r="B3" s="14" t="s">
        <v>47</v>
      </c>
      <c r="C3" s="14" t="s">
        <v>101</v>
      </c>
      <c r="D3" s="14" t="s">
        <v>260</v>
      </c>
    </row>
    <row r="4" customFormat="false" ht="15" hidden="false" customHeight="false" outlineLevel="0" collapsed="false">
      <c r="A4" s="14" t="s">
        <v>49</v>
      </c>
      <c r="B4" s="14" t="s">
        <v>54</v>
      </c>
      <c r="C4" s="14" t="s">
        <v>138</v>
      </c>
      <c r="D4" s="14" t="s">
        <v>314</v>
      </c>
    </row>
    <row r="5" customFormat="false" ht="15" hidden="false" customHeight="false" outlineLevel="0" collapsed="false">
      <c r="A5" s="14" t="s">
        <v>61</v>
      </c>
      <c r="B5" s="14" t="s">
        <v>62</v>
      </c>
    </row>
    <row r="6" customFormat="false" ht="15" hidden="false" customHeight="false" outlineLevel="0" collapsed="false">
      <c r="A6" s="14" t="s">
        <v>67</v>
      </c>
    </row>
    <row r="7" customFormat="false" ht="15" hidden="false" customHeight="false" outlineLevel="0" collapsed="false">
      <c r="A7" s="14" t="s">
        <v>72</v>
      </c>
    </row>
    <row r="8" customFormat="false" ht="15" hidden="false" customHeight="false" outlineLevel="0" collapsed="false">
      <c r="A8" s="14" t="s">
        <v>315</v>
      </c>
    </row>
    <row r="9" customFormat="false" ht="15" hidden="false" customHeight="false" outlineLevel="0" collapsed="false">
      <c r="A9" s="14" t="s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5" min="4" style="0" width="9"/>
    <col collapsed="false" customWidth="true" hidden="false" outlineLevel="0" max="6" min="6" style="0" width="12"/>
    <col collapsed="false" customWidth="true" hidden="false" outlineLevel="0" max="8" min="7" style="0" width="17"/>
  </cols>
  <sheetData>
    <row r="2" customFormat="false" ht="17.35" hidden="false" customHeight="false" outlineLevel="0" collapsed="false">
      <c r="B2" s="15" t="s">
        <v>317</v>
      </c>
    </row>
    <row r="3" customFormat="false" ht="15" hidden="false" customHeight="false" outlineLevel="0" collapsed="false">
      <c r="B3" s="2" t="s">
        <v>318</v>
      </c>
    </row>
    <row r="5" customFormat="false" ht="15" hidden="false" customHeight="false" outlineLevel="0" collapsed="false">
      <c r="B5" s="13" t="s">
        <v>319</v>
      </c>
      <c r="C5" s="13" t="s">
        <v>32</v>
      </c>
      <c r="D5" s="13" t="s">
        <v>320</v>
      </c>
      <c r="E5" s="13" t="s">
        <v>321</v>
      </c>
      <c r="F5" s="13" t="s">
        <v>322</v>
      </c>
      <c r="G5" s="13" t="s">
        <v>323</v>
      </c>
      <c r="H5" s="13" t="s">
        <v>324</v>
      </c>
    </row>
    <row r="6" customFormat="false" ht="15" hidden="false" customHeight="false" outlineLevel="0" collapsed="false">
      <c r="B6" s="16" t="s">
        <v>34</v>
      </c>
      <c r="C6" s="16" t="str">
        <f aca="false">INDEX(Products!$K$2:$K$7,MATCH("lms",Products!$A$2:$A$7,0))</f>
        <v>Live</v>
      </c>
      <c r="D6" s="16" t="n">
        <f aca="false">SUMPRODUCT((Tracks!$B$2:$B$31="lms")/COUNTIFS(Tracks!$B$2:$B$31,Tracks!$B$2:$B$31&amp;"",Tracks!$C$2:$C$31,Tracks!$C$2:$C$31&amp;""))</f>
        <v>5</v>
      </c>
      <c r="E6" s="16" t="n">
        <f aca="false">COUNTIF(Tracks!$B$2:$B$31,"lms")</f>
        <v>6</v>
      </c>
      <c r="F6" s="16" t="n">
        <f aca="false">COUNTIFS(Tracks!$B$2:$B$31,"lms",Tracks!$Q$2:$Q$31,"Live")</f>
        <v>6</v>
      </c>
      <c r="G6" s="16" t="n">
        <f aca="false">COUNTIFS(Tracks!$B$2:$B$31,"lms",Tracks!$O$2:$O$31,"&lt;&gt;")</f>
        <v>0</v>
      </c>
      <c r="H6" s="16" t="n">
        <f aca="false">COUNTIFS(Tracks!$B$2:$B$31,"lms",Tracks!$P$2:$P$31,"&lt;&gt;")</f>
        <v>6</v>
      </c>
    </row>
    <row r="7" customFormat="false" ht="15" hidden="false" customHeight="false" outlineLevel="0" collapsed="false">
      <c r="B7" s="14" t="s">
        <v>43</v>
      </c>
      <c r="C7" s="14" t="str">
        <f aca="false">INDEX(Products!$K$2:$K$7,MATCH("tms",Products!$A$2:$A$7,0))</f>
        <v>Live</v>
      </c>
      <c r="D7" s="14" t="n">
        <f aca="false">SUMPRODUCT((Tracks!$B$2:$B$31="tms")/COUNTIFS(Tracks!$B$2:$B$31,Tracks!$B$2:$B$31&amp;"",Tracks!$C$2:$C$31,Tracks!$C$2:$C$31&amp;""))</f>
        <v>4</v>
      </c>
      <c r="E7" s="14" t="n">
        <f aca="false">COUNTIF(Tracks!$B$2:$B$31,"tms")</f>
        <v>5</v>
      </c>
      <c r="F7" s="14" t="n">
        <f aca="false">COUNTIFS(Tracks!$B$2:$B$31,"tms",Tracks!$Q$2:$Q$31,"Live")</f>
        <v>5</v>
      </c>
      <c r="G7" s="14" t="n">
        <f aca="false">COUNTIFS(Tracks!$B$2:$B$31,"tms",Tracks!$O$2:$O$31,"&lt;&gt;")</f>
        <v>0</v>
      </c>
      <c r="H7" s="14" t="n">
        <f aca="false">COUNTIFS(Tracks!$B$2:$B$31,"tms",Tracks!$P$2:$P$31,"&lt;&gt;")</f>
        <v>4</v>
      </c>
    </row>
    <row r="8" customFormat="false" ht="15" hidden="false" customHeight="false" outlineLevel="0" collapsed="false">
      <c r="B8" s="16" t="s">
        <v>50</v>
      </c>
      <c r="C8" s="16" t="str">
        <f aca="false">INDEX(Products!$K$2:$K$7,MATCH("erp",Products!$A$2:$A$7,0))</f>
        <v>Live</v>
      </c>
      <c r="D8" s="16" t="n">
        <f aca="false">SUMPRODUCT((Tracks!$B$2:$B$31="erp")/COUNTIFS(Tracks!$B$2:$B$31,Tracks!$B$2:$B$31&amp;"",Tracks!$C$2:$C$31,Tracks!$C$2:$C$31&amp;""))</f>
        <v>5</v>
      </c>
      <c r="E8" s="16" t="n">
        <f aca="false">COUNTIF(Tracks!$B$2:$B$31,"erp")</f>
        <v>6</v>
      </c>
      <c r="F8" s="16" t="n">
        <f aca="false">COUNTIFS(Tracks!$B$2:$B$31,"erp",Tracks!$Q$2:$Q$31,"Live")</f>
        <v>6</v>
      </c>
      <c r="G8" s="16" t="n">
        <f aca="false">COUNTIFS(Tracks!$B$2:$B$31,"erp",Tracks!$O$2:$O$31,"&lt;&gt;")</f>
        <v>0</v>
      </c>
      <c r="H8" s="16" t="n">
        <f aca="false">COUNTIFS(Tracks!$B$2:$B$31,"erp",Tracks!$P$2:$P$31,"&lt;&gt;")</f>
        <v>1</v>
      </c>
    </row>
    <row r="9" customFormat="false" ht="15" hidden="false" customHeight="false" outlineLevel="0" collapsed="false">
      <c r="B9" s="14" t="s">
        <v>57</v>
      </c>
      <c r="C9" s="14" t="str">
        <f aca="false">INDEX(Products!$K$2:$K$7,MATCH("cpay",Products!$A$2:$A$7,0))</f>
        <v>Live</v>
      </c>
      <c r="D9" s="14" t="n">
        <f aca="false">SUMPRODUCT((Tracks!$B$2:$B$31="cpay")/COUNTIFS(Tracks!$B$2:$B$31,Tracks!$B$2:$B$31&amp;"",Tracks!$C$2:$C$31,Tracks!$C$2:$C$31&amp;""))</f>
        <v>3</v>
      </c>
      <c r="E9" s="14" t="n">
        <f aca="false">COUNTIF(Tracks!$B$2:$B$31,"cpay")</f>
        <v>4</v>
      </c>
      <c r="F9" s="14" t="n">
        <f aca="false">COUNTIFS(Tracks!$B$2:$B$31,"cpay",Tracks!$Q$2:$Q$31,"Live")</f>
        <v>4</v>
      </c>
      <c r="G9" s="14" t="n">
        <f aca="false">COUNTIFS(Tracks!$B$2:$B$31,"cpay",Tracks!$O$2:$O$31,"&lt;&gt;")</f>
        <v>0</v>
      </c>
      <c r="H9" s="14" t="n">
        <f aca="false">COUNTIFS(Tracks!$B$2:$B$31,"cpay",Tracks!$P$2:$P$31,"&lt;&gt;")</f>
        <v>2</v>
      </c>
    </row>
    <row r="10" customFormat="false" ht="15" hidden="false" customHeight="false" outlineLevel="0" collapsed="false">
      <c r="B10" s="16" t="s">
        <v>64</v>
      </c>
      <c r="C10" s="16" t="str">
        <f aca="false">INDEX(Products!$K$2:$K$7,MATCH("edumalls",Products!$A$2:$A$7,0))</f>
        <v>Live</v>
      </c>
      <c r="D10" s="16" t="n">
        <f aca="false">SUMPRODUCT((Tracks!$B$2:$B$31="edumalls")/COUNTIFS(Tracks!$B$2:$B$31,Tracks!$B$2:$B$31&amp;"",Tracks!$C$2:$C$31,Tracks!$C$2:$C$31&amp;""))</f>
        <v>3</v>
      </c>
      <c r="E10" s="16" t="n">
        <f aca="false">COUNTIF(Tracks!$B$2:$B$31,"edumalls")</f>
        <v>4</v>
      </c>
      <c r="F10" s="16" t="n">
        <f aca="false">COUNTIFS(Tracks!$B$2:$B$31,"edumalls",Tracks!$Q$2:$Q$31,"Live")</f>
        <v>0</v>
      </c>
      <c r="G10" s="16" t="n">
        <f aca="false">COUNTIFS(Tracks!$B$2:$B$31,"edumalls",Tracks!$O$2:$O$31,"&lt;&gt;")</f>
        <v>0</v>
      </c>
      <c r="H10" s="16" t="n">
        <f aca="false">COUNTIFS(Tracks!$B$2:$B$31,"edumalls",Tracks!$P$2:$P$31,"&lt;&gt;")</f>
        <v>0</v>
      </c>
    </row>
    <row r="11" customFormat="false" ht="15" hidden="false" customHeight="false" outlineLevel="0" collapsed="false">
      <c r="B11" s="14" t="s">
        <v>69</v>
      </c>
      <c r="C11" s="14" t="str">
        <f aca="false">INDEX(Products!$K$2:$K$7,MATCH("cinspire",Products!$A$2:$A$7,0))</f>
        <v>Live</v>
      </c>
      <c r="D11" s="14" t="n">
        <f aca="false">SUMPRODUCT((Tracks!$B$2:$B$31="cinspire")/COUNTIFS(Tracks!$B$2:$B$31,Tracks!$B$2:$B$31&amp;"",Tracks!$C$2:$C$31,Tracks!$C$2:$C$31&amp;""))</f>
        <v>4</v>
      </c>
      <c r="E11" s="14" t="n">
        <f aca="false">COUNTIF(Tracks!$B$2:$B$31,"cinspire")</f>
        <v>5</v>
      </c>
      <c r="F11" s="14" t="n">
        <f aca="false">COUNTIFS(Tracks!$B$2:$B$31,"cinspire",Tracks!$Q$2:$Q$31,"Live")</f>
        <v>5</v>
      </c>
      <c r="G11" s="14" t="n">
        <f aca="false">COUNTIFS(Tracks!$B$2:$B$31,"cinspire",Tracks!$O$2:$O$31,"&lt;&gt;")</f>
        <v>0</v>
      </c>
      <c r="H11" s="14" t="n">
        <f aca="false">COUNTIFS(Tracks!$B$2:$B$31,"cinspire",Tracks!$P$2:$P$31,"&lt;&gt;")</f>
        <v>4</v>
      </c>
    </row>
    <row r="12" customFormat="false" ht="15" hidden="false" customHeight="false" outlineLevel="0" collapsed="false">
      <c r="B12" s="17" t="s">
        <v>325</v>
      </c>
      <c r="C12" s="18"/>
      <c r="D12" s="19" t="n">
        <f aca="false">SUM(D6:D11)</f>
        <v>24</v>
      </c>
      <c r="E12" s="19" t="n">
        <f aca="false">SUM(E6:E11)</f>
        <v>30</v>
      </c>
      <c r="F12" s="19" t="n">
        <f aca="false">SUM(F6:F11)</f>
        <v>26</v>
      </c>
      <c r="G12" s="19" t="n">
        <f aca="false">SUM(G6:G11)</f>
        <v>0</v>
      </c>
      <c r="H12" s="19" t="n">
        <f aca="false">SUM(H6:H11)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2026-10-01T08:43:46Z</dcterms:created>
  <dc:creator>openpyxl</dc:creator>
  <dc:description/>
  <dc:language>en-US</dc:language>
  <cp:lastModifiedBy/>
  <dcterms:modified xsi:type="dcterms:W3CDTF">2026-10-01T08:43:46Z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