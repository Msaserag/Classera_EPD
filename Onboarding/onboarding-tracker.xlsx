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44" documentId="11_078885AAA5B2B04D242B14369344045063DF4AD2" xr6:coauthVersionLast="47" xr6:coauthVersionMax="47" xr10:uidLastSave="{4B099C6C-49D6-4EDC-ACD9-2704A45D54F6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<sst xmlns="http://schemas.openxmlformats.org/spreadsheetml/2006/main" count="498" uniqueCount="329">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</sst>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5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8" sqref="N12:N35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</cols>
  <sheetData>
    <row r="1" spans="1:17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spans="1:17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1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7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1</v>
      </c>
      <c r="N3" s="12">
        <v>90</v>
      </c>
      <c r="O3" s="10"/>
      <c r="P3" s="10" t="s">
        <v>102</v>
      </c>
      <c r="Q3" s="12" t="s">
        <v>41</v>
      </c>
    </row>
    <row r="4" spans="1:17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1</v>
      </c>
      <c r="N4" s="9">
        <v>75</v>
      </c>
      <c r="O4" s="10" t="s">
        <v>327</v>
      </c>
      <c r="P4" s="10" t="s">
        <v>111</v>
      </c>
      <c r="Q4" s="9" t="s">
        <v>41</v>
      </c>
    </row>
    <row r="5" spans="1:17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/>
      <c r="N5" s="12"/>
      <c r="O5" s="10"/>
      <c r="P5" s="10" t="s">
        <v>120</v>
      </c>
      <c r="Q5" s="12" t="s">
        <v>260</v>
      </c>
    </row>
    <row r="6" spans="1:17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/>
      <c r="N6" s="9"/>
      <c r="O6" s="10"/>
      <c r="P6" s="10" t="s">
        <v>129</v>
      </c>
      <c r="Q6" s="12" t="s">
        <v>260</v>
      </c>
    </row>
    <row r="7" spans="1:17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1</v>
      </c>
      <c r="N7" s="12">
        <v>90</v>
      </c>
      <c r="O7" s="20" t="s">
        <v>328</v>
      </c>
      <c r="P7" s="10" t="s">
        <v>139</v>
      </c>
      <c r="Q7" s="12" t="s">
        <v>41</v>
      </c>
    </row>
    <row r="8" spans="1:17" ht="90" x14ac:dyDescent="0.25">
      <c r="A8" s="8" t="inlineStr">
        <is>
          <t>lms-07</t>
        </is>
      </c>
      <c r="B8" s="8" t="inlineStr">
        <is>
          <t>lms</t>
        </is>
      </c>
      <c r="C8" s="8" t="inlineStr">
        <is>
          <t>tsupervisor</t>
        </is>
      </c>
      <c r="D8" s="12">
        <v>22</v>
      </c>
      <c r="E8" s="12" t="inlineStr">
        <is>
          <t>Teacher Supervisor</t>
        </is>
      </c>
      <c r="F8" s="12" t="inlineStr">
        <is>
          <t>مشرف تربوي</t>
        </is>
      </c>
      <c r="G8" s="12">
        <v>10</v>
      </c>
      <c r="H8" s="10" t="inlineStr">
        <is>
          <t>Supervising Teaching Quality</t>
        </is>
      </c>
      <c r="I8" s="10" t="inlineStr">
        <is>
          <t>متابعة جودة التدريس</t>
        </is>
      </c>
      <c r="J8" s="10" t="inlineStr">
        <is>
          <t>Follow teacher activity, review lessons and assessments, and give data-based feedback.</t>
        </is>
      </c>
      <c r="K8" s="10" t="inlineStr">
        <is>
          <t>متابعة نشاط المعلمين، مراجعة الدروس والتقييمات، وتقديم تغذية راجعة مبنية على البيانات.</t>
        </is>
      </c>
      <c r="L8" s="12" t="inlineStr">
        <is>
          <t>Core</t>
        </is>
      </c>
      <c r="M8" s="12"/>
      <c r="N8" s="12"/>
      <c r="O8" s="10"/>
      <c r="P8" s="10"/>
      <c r="Q8" s="12" t="inlineStr">
        <is>
          <t>Coming soon</t>
        </is>
      </c>
    </row>
    <row r="9" spans="1:17" ht="90" x14ac:dyDescent="0.25">
      <c r="A9" s="8" t="inlineStr">
        <is>
          <t>lms-08</t>
        </is>
      </c>
      <c r="B9" s="8" t="inlineStr">
        <is>
          <t>lms</t>
        </is>
      </c>
      <c r="C9" s="8" t="inlineStr">
        <is>
          <t>floorsup</t>
        </is>
      </c>
      <c r="D9" s="12">
        <v>24</v>
      </c>
      <c r="E9" s="12" t="inlineStr">
        <is>
          <t>Floor Supervisor &amp; Advisor</t>
        </is>
      </c>
      <c r="F9" s="12" t="inlineStr">
        <is>
          <t>مشرف الدور والمرشد الطلابي</t>
        </is>
      </c>
      <c r="G9" s="12">
        <v>10</v>
      </c>
      <c r="H9" s="10" t="inlineStr">
        <is>
          <t>Student Follow-up and Guidance</t>
        </is>
      </c>
      <c r="I9" s="10" t="inlineStr">
        <is>
          <t>متابعة الطلاب والإرشاد</t>
        </is>
      </c>
      <c r="J9" s="10" t="inlineStr">
        <is>
          <t>Track attendance and behavior, record student notes and communicate with parents.</t>
        </is>
      </c>
      <c r="K9" s="10" t="inlineStr">
        <is>
          <t>متابعة الحضور والسلوك، تسجيل ملاحظات الطلاب، والتواصل مع أولياء الأمور.</t>
        </is>
      </c>
      <c r="L9" s="12" t="inlineStr">
        <is>
          <t>Essential</t>
        </is>
      </c>
      <c r="M9" s="12"/>
      <c r="N9" s="12"/>
      <c r="O9" s="10"/>
      <c r="P9" s="10"/>
      <c r="Q9" s="12" t="inlineStr">
        <is>
          <t>Coming soon</t>
        </is>
      </c>
    </row>
    <row r="10" spans="1:17" ht="90" x14ac:dyDescent="0.25">
      <c r="A10" s="8" t="inlineStr">
        <is>
          <t>lms-09</t>
        </is>
      </c>
      <c r="B10" s="8" t="inlineStr">
        <is>
          <t>lms</t>
        </is>
      </c>
      <c r="C10" s="8" t="inlineStr">
        <is>
          <t>teacher</t>
        </is>
      </c>
      <c r="D10" s="12">
        <v>10</v>
      </c>
      <c r="E10" s="12" t="inlineStr">
        <is>
          <t>Teacher</t>
        </is>
      </c>
      <c r="F10" s="12" t="inlineStr">
        <is>
          <t>معلم</t>
        </is>
      </c>
      <c r="G10" s="12">
        <v>30</v>
      </c>
      <c r="H10" s="10" t="inlineStr">
        <is>
          <t>Classera Teacher Accreditation</t>
        </is>
      </c>
      <c r="I10" s="10" t="inlineStr">
        <is>
          <t>اعتماد المعلم من كلاسيرا</t>
        </is>
      </c>
      <c r="J10" s="10" t="inlineStr">
        <is>
          <t>Get accredited from User to Expert level: review the criteria, apply, sit the exam and earn a 3-year certificate.</t>
        </is>
      </c>
      <c r="K10" s="10" t="inlineStr">
        <is>
          <t>احصل على اعتمادك من مستوى مستخدم إلى خبير: راجع المعايير، قدّم طلبك، اجتز الاختبار، واحصل على شهادة صالحة لثلاث سنوات.</t>
        </is>
      </c>
      <c r="L10" s="12" t="inlineStr">
        <is>
          <t>Advanced</t>
        </is>
      </c>
      <c r="M10" s="12"/>
      <c r="N10" s="12"/>
      <c r="O10" s="20" t="inlineStr">
        <is>
          <t>https://accreditation.classera.com/</t>
        </is>
      </c>
      <c r="P10" s="10"/>
      <c r="Q10" s="12" t="inlineStr">
        <is>
          <t>Live</t>
        </is>
      </c>
    </row>
    <row r="11" spans="1:17" ht="90" x14ac:dyDescent="0.25">
      <c r="A11" s="8" t="inlineStr">
        <is>
          <t>lms-10</t>
        </is>
      </c>
      <c r="B11" s="8" t="inlineStr">
        <is>
          <t>lms</t>
        </is>
      </c>
      <c r="C11" s="8" t="inlineStr">
        <is>
          <t>itadmin</t>
        </is>
      </c>
      <c r="D11" s="12">
        <v>50</v>
      </c>
      <c r="E11" s="12" t="inlineStr">
        <is>
          <t>System Admin</t>
        </is>
      </c>
      <c r="F11" s="12" t="inlineStr">
        <is>
          <t>مسؤول النظام</t>
        </is>
      </c>
      <c r="G11" s="12">
        <v>20</v>
      </c>
      <c r="H11" s="10" t="inlineStr">
        <is>
          <t>System Manager Accreditation</t>
        </is>
      </c>
      <c r="I11" s="10" t="inlineStr">
        <is>
          <t>اعتماد مدير النظام</t>
        </is>
      </c>
      <c r="J11" s="10" t="inlineStr">
        <is>
          <t>Get accredited as a System Manager, from Practitioner to Professional level, through criteria review, application and exam.</t>
        </is>
      </c>
      <c r="K11" s="10" t="inlineStr">
        <is>
          <t>احصل على اعتماد مدير النظام من مستوى ممارس إلى محترف عبر مراجعة المعايير، تقديم الطلب، واجتياز الاختبار.</t>
        </is>
      </c>
      <c r="L11" s="12" t="inlineStr">
        <is>
          <t>Advanced</t>
        </is>
      </c>
      <c r="M11" s="12"/>
      <c r="N11" s="12"/>
      <c r="O11" s="20" t="inlineStr">
        <is>
          <t>https://accreditation.classera.com/</t>
        </is>
      </c>
      <c r="P11" s="10"/>
      <c r="Q11" s="12" t="inlineStr">
        <is>
          <t>Live</t>
        </is>
      </c>
    </row>
    <row r="12" spans="1:17" ht="25.5" x14ac:dyDescent="0.25">
      <c r="A12" s="8" t="s">
        <v>140</v>
      </c>
      <c r="B12" s="8" t="s">
        <v>42</v>
      </c>
      <c r="C12" s="8" t="s">
        <v>141</v>
      </c>
      <c r="D12" s="9">
        <v>10</v>
      </c>
      <c r="E12" s="9" t="s">
        <v>142</v>
      </c>
      <c r="F12" s="9" t="s">
        <v>143</v>
      </c>
      <c r="G12" s="9">
        <v>10</v>
      </c>
      <c r="H12" s="10" t="s">
        <v>144</v>
      </c>
      <c r="I12" s="10" t="s">
        <v>145</v>
      </c>
      <c r="J12" s="10" t="s">
        <v>146</v>
      </c>
      <c r="K12" s="10" t="s">
        <v>147</v>
      </c>
      <c r="L12" s="9" t="s">
        <v>94</v>
      </c>
      <c r="M12" s="9">
        <v>1</v>
      </c>
      <c r="N12" s="9">
        <v>60</v>
      </c>
      <c r="O12" s="10"/>
      <c r="P12" s="10" t="s">
        <v>148</v>
      </c>
      <c r="Q12" s="12" t="s">
        <v>260</v>
      </c>
    </row>
    <row r="13" spans="1:17" ht="25.5" x14ac:dyDescent="0.25">
      <c r="A13" s="8" t="s">
        <v>149</v>
      </c>
      <c r="B13" s="8" t="s">
        <v>42</v>
      </c>
      <c r="C13" s="8" t="s">
        <v>141</v>
      </c>
      <c r="D13" s="12">
        <v>10</v>
      </c>
      <c r="E13" s="12" t="s">
        <v>142</v>
      </c>
      <c r="F13" s="12" t="s">
        <v>143</v>
      </c>
      <c r="G13" s="12">
        <v>20</v>
      </c>
      <c r="H13" s="10" t="s">
        <v>150</v>
      </c>
      <c r="I13" s="10" t="s">
        <v>151</v>
      </c>
      <c r="J13" s="10" t="s">
        <v>152</v>
      </c>
      <c r="K13" s="10" t="s">
        <v>153</v>
      </c>
      <c r="L13" s="12" t="s">
        <v>101</v>
      </c>
      <c r="M13" s="12">
        <v>1</v>
      </c>
      <c r="N13" s="12">
        <v>60</v>
      </c>
      <c r="O13" s="10"/>
      <c r="P13" s="10"/>
      <c r="Q13" s="12" t="s">
        <v>260</v>
      </c>
    </row>
    <row r="14" spans="1:17" ht="25.5" x14ac:dyDescent="0.25">
      <c r="A14" s="8" t="s">
        <v>154</v>
      </c>
      <c r="B14" s="8" t="s">
        <v>42</v>
      </c>
      <c r="C14" s="8" t="s">
        <v>155</v>
      </c>
      <c r="D14" s="9">
        <v>20</v>
      </c>
      <c r="E14" s="9" t="s">
        <v>156</v>
      </c>
      <c r="F14" s="9" t="s">
        <v>157</v>
      </c>
      <c r="G14" s="9">
        <v>10</v>
      </c>
      <c r="H14" s="10" t="s">
        <v>158</v>
      </c>
      <c r="I14" s="10" t="s">
        <v>159</v>
      </c>
      <c r="J14" s="10" t="s">
        <v>160</v>
      </c>
      <c r="K14" s="10" t="s">
        <v>161</v>
      </c>
      <c r="L14" s="9" t="s">
        <v>94</v>
      </c>
      <c r="M14" s="9">
        <v>1</v>
      </c>
      <c r="N14" s="9">
        <v>60</v>
      </c>
      <c r="O14" s="10"/>
      <c r="P14" s="10" t="s">
        <v>162</v>
      </c>
      <c r="Q14" s="12" t="s">
        <v>260</v>
      </c>
    </row>
    <row r="15" spans="1:17" ht="25.5" x14ac:dyDescent="0.25">
      <c r="A15" s="8" t="s">
        <v>163</v>
      </c>
      <c r="B15" s="8" t="s">
        <v>42</v>
      </c>
      <c r="C15" s="8" t="s">
        <v>164</v>
      </c>
      <c r="D15" s="12">
        <v>30</v>
      </c>
      <c r="E15" s="12" t="s">
        <v>165</v>
      </c>
      <c r="F15" s="12" t="s">
        <v>166</v>
      </c>
      <c r="G15" s="12">
        <v>10</v>
      </c>
      <c r="H15" s="10" t="s">
        <v>167</v>
      </c>
      <c r="I15" s="10" t="s">
        <v>168</v>
      </c>
      <c r="J15" s="10" t="s">
        <v>169</v>
      </c>
      <c r="K15" s="10" t="s">
        <v>170</v>
      </c>
      <c r="L15" s="12" t="s">
        <v>94</v>
      </c>
      <c r="M15" s="12">
        <v>1</v>
      </c>
      <c r="N15" s="12">
        <v>60</v>
      </c>
      <c r="O15" s="10"/>
      <c r="P15" s="10" t="s">
        <v>171</v>
      </c>
      <c r="Q15" s="12" t="s">
        <v>260</v>
      </c>
    </row>
    <row r="16" spans="1:17" ht="25.5" x14ac:dyDescent="0.25">
      <c r="A16" s="8" t="s">
        <v>172</v>
      </c>
      <c r="B16" s="8" t="s">
        <v>42</v>
      </c>
      <c r="C16" s="8" t="s">
        <v>173</v>
      </c>
      <c r="D16" s="9">
        <v>40</v>
      </c>
      <c r="E16" s="9" t="s">
        <v>174</v>
      </c>
      <c r="F16" s="9" t="s">
        <v>175</v>
      </c>
      <c r="G16" s="9">
        <v>10</v>
      </c>
      <c r="H16" s="10" t="s">
        <v>176</v>
      </c>
      <c r="I16" s="10" t="s">
        <v>177</v>
      </c>
      <c r="J16" s="10" t="s">
        <v>178</v>
      </c>
      <c r="K16" s="10" t="s">
        <v>179</v>
      </c>
      <c r="L16" s="9" t="s">
        <v>101</v>
      </c>
      <c r="M16" s="9">
        <v>1</v>
      </c>
      <c r="N16" s="9">
        <v>60</v>
      </c>
      <c r="O16" s="10"/>
      <c r="P16" s="10" t="s">
        <v>180</v>
      </c>
      <c r="Q16" s="12" t="s">
        <v>260</v>
      </c>
    </row>
    <row r="17" spans="1:17" ht="25.5" x14ac:dyDescent="0.25">
      <c r="A17" s="8" t="s">
        <v>181</v>
      </c>
      <c r="B17" s="8" t="s">
        <v>49</v>
      </c>
      <c r="C17" s="8" t="s">
        <v>182</v>
      </c>
      <c r="D17" s="12">
        <v>10</v>
      </c>
      <c r="E17" s="12" t="s">
        <v>183</v>
      </c>
      <c r="F17" s="12" t="s">
        <v>184</v>
      </c>
      <c r="G17" s="12">
        <v>10</v>
      </c>
      <c r="H17" s="10" t="s">
        <v>185</v>
      </c>
      <c r="I17" s="10" t="s">
        <v>186</v>
      </c>
      <c r="J17" s="10" t="s">
        <v>187</v>
      </c>
      <c r="K17" s="10" t="s">
        <v>188</v>
      </c>
      <c r="L17" s="12" t="s">
        <v>94</v>
      </c>
      <c r="M17" s="12">
        <v>1</v>
      </c>
      <c r="N17" s="12">
        <v>60</v>
      </c>
      <c r="O17" s="10"/>
      <c r="P17" s="10"/>
      <c r="Q17" s="12" t="s">
        <v>260</v>
      </c>
    </row>
    <row r="18" spans="1:17" ht="25.5" x14ac:dyDescent="0.25">
      <c r="A18" s="8" t="s">
        <v>189</v>
      </c>
      <c r="B18" s="8" t="s">
        <v>49</v>
      </c>
      <c r="C18" s="8" t="s">
        <v>182</v>
      </c>
      <c r="D18" s="9">
        <v>10</v>
      </c>
      <c r="E18" s="9" t="s">
        <v>183</v>
      </c>
      <c r="F18" s="9" t="s">
        <v>184</v>
      </c>
      <c r="G18" s="9">
        <v>20</v>
      </c>
      <c r="H18" s="10" t="s">
        <v>190</v>
      </c>
      <c r="I18" s="10" t="s">
        <v>191</v>
      </c>
      <c r="J18" s="10" t="s">
        <v>192</v>
      </c>
      <c r="K18" s="10" t="s">
        <v>193</v>
      </c>
      <c r="L18" s="9" t="s">
        <v>138</v>
      </c>
      <c r="M18" s="9">
        <v>1</v>
      </c>
      <c r="N18" s="9">
        <v>60</v>
      </c>
      <c r="O18" s="10"/>
      <c r="P18" s="10"/>
      <c r="Q18" s="12" t="s">
        <v>260</v>
      </c>
    </row>
    <row r="19" spans="1:17" ht="25.5" x14ac:dyDescent="0.25">
      <c r="A19" s="8" t="s">
        <v>194</v>
      </c>
      <c r="B19" s="8" t="s">
        <v>49</v>
      </c>
      <c r="C19" s="8" t="s">
        <v>195</v>
      </c>
      <c r="D19" s="12">
        <v>20</v>
      </c>
      <c r="E19" s="12" t="s">
        <v>196</v>
      </c>
      <c r="F19" s="12" t="s">
        <v>197</v>
      </c>
      <c r="G19" s="12">
        <v>10</v>
      </c>
      <c r="H19" s="10" t="s">
        <v>198</v>
      </c>
      <c r="I19" s="10" t="s">
        <v>199</v>
      </c>
      <c r="J19" s="10" t="s">
        <v>200</v>
      </c>
      <c r="K19" s="10" t="s">
        <v>201</v>
      </c>
      <c r="L19" s="12" t="s">
        <v>94</v>
      </c>
      <c r="M19" s="12">
        <v>1</v>
      </c>
      <c r="N19" s="12">
        <v>60</v>
      </c>
      <c r="O19" s="10"/>
      <c r="P19" s="10"/>
      <c r="Q19" s="12" t="s">
        <v>260</v>
      </c>
    </row>
    <row r="20" spans="1:17" ht="25.5" x14ac:dyDescent="0.25">
      <c r="A20" s="8" t="s">
        <v>202</v>
      </c>
      <c r="B20" s="8" t="s">
        <v>49</v>
      </c>
      <c r="C20" s="8" t="s">
        <v>203</v>
      </c>
      <c r="D20" s="9">
        <v>30</v>
      </c>
      <c r="E20" s="9" t="s">
        <v>204</v>
      </c>
      <c r="F20" s="9" t="s">
        <v>205</v>
      </c>
      <c r="G20" s="9">
        <v>10</v>
      </c>
      <c r="H20" s="10" t="s">
        <v>206</v>
      </c>
      <c r="I20" s="10" t="s">
        <v>207</v>
      </c>
      <c r="J20" s="10" t="s">
        <v>208</v>
      </c>
      <c r="K20" s="10" t="s">
        <v>209</v>
      </c>
      <c r="L20" s="9" t="s">
        <v>101</v>
      </c>
      <c r="M20" s="9">
        <v>1</v>
      </c>
      <c r="N20" s="9">
        <v>60</v>
      </c>
      <c r="O20" s="10"/>
      <c r="P20" s="10" t="s">
        <v>210</v>
      </c>
      <c r="Q20" s="12" t="s">
        <v>260</v>
      </c>
    </row>
    <row r="21" spans="1:17" ht="25.5" x14ac:dyDescent="0.25">
      <c r="A21" s="8" t="s">
        <v>211</v>
      </c>
      <c r="B21" s="8" t="s">
        <v>49</v>
      </c>
      <c r="C21" s="8" t="s">
        <v>212</v>
      </c>
      <c r="D21" s="12">
        <v>40</v>
      </c>
      <c r="E21" s="12" t="s">
        <v>213</v>
      </c>
      <c r="F21" s="12" t="s">
        <v>214</v>
      </c>
      <c r="G21" s="12">
        <v>10</v>
      </c>
      <c r="H21" s="10" t="s">
        <v>215</v>
      </c>
      <c r="I21" s="10" t="s">
        <v>216</v>
      </c>
      <c r="J21" s="10" t="s">
        <v>217</v>
      </c>
      <c r="K21" s="10" t="s">
        <v>218</v>
      </c>
      <c r="L21" s="12" t="s">
        <v>101</v>
      </c>
      <c r="M21" s="12">
        <v>1</v>
      </c>
      <c r="N21" s="12">
        <v>60</v>
      </c>
      <c r="O21" s="10"/>
      <c r="P21" s="10"/>
      <c r="Q21" s="12" t="s">
        <v>260</v>
      </c>
    </row>
    <row r="22" spans="1:17" ht="25.5" x14ac:dyDescent="0.25">
      <c r="A22" s="8" t="s">
        <v>219</v>
      </c>
      <c r="B22" s="8" t="s">
        <v>49</v>
      </c>
      <c r="C22" s="8" t="s">
        <v>131</v>
      </c>
      <c r="D22" s="9">
        <v>50</v>
      </c>
      <c r="E22" s="9" t="s">
        <v>132</v>
      </c>
      <c r="F22" s="9" t="s">
        <v>133</v>
      </c>
      <c r="G22" s="9">
        <v>10</v>
      </c>
      <c r="H22" s="10" t="s">
        <v>220</v>
      </c>
      <c r="I22" s="10" t="s">
        <v>221</v>
      </c>
      <c r="J22" s="10" t="s">
        <v>222</v>
      </c>
      <c r="K22" s="10" t="s">
        <v>223</v>
      </c>
      <c r="L22" s="9" t="s">
        <v>138</v>
      </c>
      <c r="M22" s="9">
        <v>1</v>
      </c>
      <c r="N22" s="9">
        <v>60</v>
      </c>
      <c r="O22" s="10"/>
      <c r="P22" s="10"/>
      <c r="Q22" s="12" t="s">
        <v>260</v>
      </c>
    </row>
    <row r="23" spans="1:17" ht="25.5" x14ac:dyDescent="0.25">
      <c r="A23" s="8" t="s">
        <v>224</v>
      </c>
      <c r="B23" s="8" t="s">
        <v>56</v>
      </c>
      <c r="C23" s="8" t="s">
        <v>225</v>
      </c>
      <c r="D23" s="12">
        <v>10</v>
      </c>
      <c r="E23" s="12" t="s">
        <v>226</v>
      </c>
      <c r="F23" s="12" t="s">
        <v>227</v>
      </c>
      <c r="G23" s="12">
        <v>10</v>
      </c>
      <c r="H23" s="10" t="s">
        <v>228</v>
      </c>
      <c r="I23" s="10" t="s">
        <v>229</v>
      </c>
      <c r="J23" s="10" t="s">
        <v>230</v>
      </c>
      <c r="K23" s="10" t="s">
        <v>231</v>
      </c>
      <c r="L23" s="12" t="s">
        <v>94</v>
      </c>
      <c r="M23" s="12">
        <v>1</v>
      </c>
      <c r="N23" s="12">
        <v>60</v>
      </c>
      <c r="O23" s="10"/>
      <c r="P23" s="10" t="s">
        <v>232</v>
      </c>
      <c r="Q23" s="12" t="s">
        <v>260</v>
      </c>
    </row>
    <row r="24" spans="1:17" ht="25.5" x14ac:dyDescent="0.25">
      <c r="A24" s="8" t="s">
        <v>233</v>
      </c>
      <c r="B24" s="8" t="s">
        <v>56</v>
      </c>
      <c r="C24" s="8" t="s">
        <v>225</v>
      </c>
      <c r="D24" s="9">
        <v>10</v>
      </c>
      <c r="E24" s="9" t="s">
        <v>226</v>
      </c>
      <c r="F24" s="9" t="s">
        <v>227</v>
      </c>
      <c r="G24" s="9">
        <v>20</v>
      </c>
      <c r="H24" s="10" t="s">
        <v>234</v>
      </c>
      <c r="I24" s="10" t="s">
        <v>235</v>
      </c>
      <c r="J24" s="10" t="s">
        <v>236</v>
      </c>
      <c r="K24" s="10" t="s">
        <v>237</v>
      </c>
      <c r="L24" s="9" t="s">
        <v>101</v>
      </c>
      <c r="M24" s="9">
        <v>1</v>
      </c>
      <c r="N24" s="9">
        <v>60</v>
      </c>
      <c r="O24" s="10"/>
      <c r="P24" s="10"/>
      <c r="Q24" s="12" t="s">
        <v>260</v>
      </c>
    </row>
    <row r="25" spans="1:17" x14ac:dyDescent="0.25">
      <c r="A25" s="8" t="s">
        <v>238</v>
      </c>
      <c r="B25" s="8" t="s">
        <v>56</v>
      </c>
      <c r="C25" s="8" t="s">
        <v>239</v>
      </c>
      <c r="D25" s="12">
        <v>20</v>
      </c>
      <c r="E25" s="12" t="s">
        <v>240</v>
      </c>
      <c r="F25" s="12" t="s">
        <v>241</v>
      </c>
      <c r="G25" s="12">
        <v>10</v>
      </c>
      <c r="H25" s="10" t="s">
        <v>242</v>
      </c>
      <c r="I25" s="10" t="s">
        <v>243</v>
      </c>
      <c r="J25" s="10" t="s">
        <v>244</v>
      </c>
      <c r="K25" s="10" t="s">
        <v>245</v>
      </c>
      <c r="L25" s="12" t="s">
        <v>94</v>
      </c>
      <c r="M25" s="12">
        <v>1</v>
      </c>
      <c r="N25" s="12">
        <v>60</v>
      </c>
      <c r="O25" s="10"/>
      <c r="P25" s="10"/>
      <c r="Q25" s="12" t="s">
        <v>260</v>
      </c>
    </row>
    <row r="26" spans="1:17" ht="25.5" x14ac:dyDescent="0.25">
      <c r="A26" s="8" t="s">
        <v>246</v>
      </c>
      <c r="B26" s="8" t="s">
        <v>56</v>
      </c>
      <c r="C26" s="8" t="s">
        <v>122</v>
      </c>
      <c r="D26" s="9">
        <v>30</v>
      </c>
      <c r="E26" s="9" t="s">
        <v>123</v>
      </c>
      <c r="F26" s="9" t="s">
        <v>124</v>
      </c>
      <c r="G26" s="9">
        <v>10</v>
      </c>
      <c r="H26" s="10" t="s">
        <v>247</v>
      </c>
      <c r="I26" s="10" t="s">
        <v>248</v>
      </c>
      <c r="J26" s="10" t="s">
        <v>249</v>
      </c>
      <c r="K26" s="10" t="s">
        <v>250</v>
      </c>
      <c r="L26" s="9" t="s">
        <v>94</v>
      </c>
      <c r="M26" s="9">
        <v>1</v>
      </c>
      <c r="N26" s="9">
        <v>60</v>
      </c>
      <c r="O26" s="10"/>
      <c r="P26" s="10" t="s">
        <v>251</v>
      </c>
      <c r="Q26" s="12" t="s">
        <v>260</v>
      </c>
    </row>
    <row r="27" spans="1:17" x14ac:dyDescent="0.25">
      <c r="A27" s="8" t="s">
        <v>252</v>
      </c>
      <c r="B27" s="8" t="s">
        <v>63</v>
      </c>
      <c r="C27" s="8" t="s">
        <v>253</v>
      </c>
      <c r="D27" s="12">
        <v>10</v>
      </c>
      <c r="E27" s="12" t="s">
        <v>254</v>
      </c>
      <c r="F27" s="12" t="s">
        <v>255</v>
      </c>
      <c r="G27" s="12">
        <v>10</v>
      </c>
      <c r="H27" s="10" t="s">
        <v>256</v>
      </c>
      <c r="I27" s="10" t="s">
        <v>257</v>
      </c>
      <c r="J27" s="10" t="s">
        <v>258</v>
      </c>
      <c r="K27" s="10" t="s">
        <v>259</v>
      </c>
      <c r="L27" s="12" t="s">
        <v>94</v>
      </c>
      <c r="M27" s="12">
        <v>1</v>
      </c>
      <c r="N27" s="12">
        <v>60</v>
      </c>
      <c r="O27" s="10"/>
      <c r="P27" s="10"/>
      <c r="Q27" s="12" t="s">
        <v>260</v>
      </c>
    </row>
    <row r="28" spans="1:17" ht="25.5" x14ac:dyDescent="0.25">
      <c r="A28" s="8" t="s">
        <v>261</v>
      </c>
      <c r="B28" s="8" t="s">
        <v>63</v>
      </c>
      <c r="C28" s="8" t="s">
        <v>262</v>
      </c>
      <c r="D28" s="9">
        <v>20</v>
      </c>
      <c r="E28" s="9" t="s">
        <v>263</v>
      </c>
      <c r="F28" s="9" t="s">
        <v>264</v>
      </c>
      <c r="G28" s="9">
        <v>10</v>
      </c>
      <c r="H28" s="10" t="s">
        <v>265</v>
      </c>
      <c r="I28" s="10" t="s">
        <v>266</v>
      </c>
      <c r="J28" s="10" t="s">
        <v>267</v>
      </c>
      <c r="K28" s="10" t="s">
        <v>268</v>
      </c>
      <c r="L28" s="9" t="s">
        <v>101</v>
      </c>
      <c r="M28" s="9">
        <v>1</v>
      </c>
      <c r="N28" s="9">
        <v>60</v>
      </c>
      <c r="O28" s="10"/>
      <c r="P28" s="10"/>
      <c r="Q28" s="12" t="s">
        <v>260</v>
      </c>
    </row>
    <row r="29" spans="1:17" ht="25.5" x14ac:dyDescent="0.25">
      <c r="A29" s="8" t="s">
        <v>269</v>
      </c>
      <c r="B29" s="8" t="s">
        <v>63</v>
      </c>
      <c r="C29" s="8" t="s">
        <v>253</v>
      </c>
      <c r="D29" s="12">
        <v>10</v>
      </c>
      <c r="E29" s="12" t="s">
        <v>254</v>
      </c>
      <c r="F29" s="12" t="s">
        <v>255</v>
      </c>
      <c r="G29" s="12">
        <v>20</v>
      </c>
      <c r="H29" s="10" t="s">
        <v>270</v>
      </c>
      <c r="I29" s="10" t="s">
        <v>271</v>
      </c>
      <c r="J29" s="10" t="s">
        <v>272</v>
      </c>
      <c r="K29" s="10" t="s">
        <v>273</v>
      </c>
      <c r="L29" s="12" t="s">
        <v>138</v>
      </c>
      <c r="M29" s="12">
        <v>1</v>
      </c>
      <c r="N29" s="12">
        <v>60</v>
      </c>
      <c r="O29" s="10"/>
      <c r="P29" s="10"/>
      <c r="Q29" s="12" t="s">
        <v>260</v>
      </c>
    </row>
    <row r="30" spans="1:17" x14ac:dyDescent="0.25">
      <c r="A30" s="8" t="s">
        <v>274</v>
      </c>
      <c r="B30" s="8" t="s">
        <v>63</v>
      </c>
      <c r="C30" s="8" t="s">
        <v>275</v>
      </c>
      <c r="D30" s="9">
        <v>30</v>
      </c>
      <c r="E30" s="9" t="s">
        <v>276</v>
      </c>
      <c r="F30" s="9" t="s">
        <v>277</v>
      </c>
      <c r="G30" s="9">
        <v>10</v>
      </c>
      <c r="H30" s="10" t="s">
        <v>278</v>
      </c>
      <c r="I30" s="10" t="s">
        <v>279</v>
      </c>
      <c r="J30" s="10" t="s">
        <v>280</v>
      </c>
      <c r="K30" s="10" t="s">
        <v>281</v>
      </c>
      <c r="L30" s="9" t="s">
        <v>94</v>
      </c>
      <c r="M30" s="9">
        <v>1</v>
      </c>
      <c r="N30" s="9">
        <v>60</v>
      </c>
      <c r="O30" s="10"/>
      <c r="P30" s="10"/>
      <c r="Q30" s="12" t="s">
        <v>260</v>
      </c>
    </row>
    <row r="31" spans="1:17" ht="25.5" x14ac:dyDescent="0.25">
      <c r="A31" s="8" t="s">
        <v>282</v>
      </c>
      <c r="B31" s="8" t="s">
        <v>68</v>
      </c>
      <c r="C31" s="8" t="s">
        <v>283</v>
      </c>
      <c r="D31" s="12">
        <v>10</v>
      </c>
      <c r="E31" s="12" t="s">
        <v>284</v>
      </c>
      <c r="F31" s="12" t="s">
        <v>285</v>
      </c>
      <c r="G31" s="12">
        <v>10</v>
      </c>
      <c r="H31" s="10" t="s">
        <v>286</v>
      </c>
      <c r="I31" s="10" t="s">
        <v>287</v>
      </c>
      <c r="J31" s="10" t="s">
        <v>288</v>
      </c>
      <c r="K31" s="10" t="s">
        <v>289</v>
      </c>
      <c r="L31" s="12" t="s">
        <v>101</v>
      </c>
      <c r="M31" s="12">
        <v>1</v>
      </c>
      <c r="N31" s="12">
        <v>60</v>
      </c>
      <c r="O31" s="10"/>
      <c r="P31" s="10" t="s">
        <v>290</v>
      </c>
      <c r="Q31" s="12" t="s">
        <v>260</v>
      </c>
    </row>
    <row r="32" spans="1:17" ht="25.5" x14ac:dyDescent="0.25">
      <c r="A32" s="8" t="s">
        <v>291</v>
      </c>
      <c r="B32" s="8" t="s">
        <v>68</v>
      </c>
      <c r="C32" s="8" t="s">
        <v>283</v>
      </c>
      <c r="D32" s="9">
        <v>10</v>
      </c>
      <c r="E32" s="9" t="s">
        <v>284</v>
      </c>
      <c r="F32" s="9" t="s">
        <v>285</v>
      </c>
      <c r="G32" s="9">
        <v>20</v>
      </c>
      <c r="H32" s="10" t="s">
        <v>292</v>
      </c>
      <c r="I32" s="10" t="s">
        <v>293</v>
      </c>
      <c r="J32" s="10" t="s">
        <v>294</v>
      </c>
      <c r="K32" s="10" t="s">
        <v>295</v>
      </c>
      <c r="L32" s="9" t="s">
        <v>138</v>
      </c>
      <c r="M32" s="9">
        <v>1</v>
      </c>
      <c r="N32" s="9">
        <v>60</v>
      </c>
      <c r="O32" s="10"/>
      <c r="P32" s="10"/>
      <c r="Q32" s="12" t="s">
        <v>260</v>
      </c>
    </row>
    <row r="33" spans="1:17" ht="25.5" x14ac:dyDescent="0.25">
      <c r="A33" s="8" t="s">
        <v>296</v>
      </c>
      <c r="B33" s="8" t="s">
        <v>68</v>
      </c>
      <c r="C33" s="8" t="s">
        <v>87</v>
      </c>
      <c r="D33" s="12">
        <v>20</v>
      </c>
      <c r="E33" s="12" t="s">
        <v>88</v>
      </c>
      <c r="F33" s="12" t="s">
        <v>89</v>
      </c>
      <c r="G33" s="12">
        <v>10</v>
      </c>
      <c r="H33" s="10" t="s">
        <v>297</v>
      </c>
      <c r="I33" s="10" t="s">
        <v>298</v>
      </c>
      <c r="J33" s="10" t="s">
        <v>299</v>
      </c>
      <c r="K33" s="10" t="s">
        <v>300</v>
      </c>
      <c r="L33" s="12" t="s">
        <v>94</v>
      </c>
      <c r="M33" s="12">
        <v>1</v>
      </c>
      <c r="N33" s="12">
        <v>60</v>
      </c>
      <c r="O33" s="10"/>
      <c r="P33" s="10" t="s">
        <v>301</v>
      </c>
      <c r="Q33" s="12" t="s">
        <v>260</v>
      </c>
    </row>
    <row r="34" spans="1:17" ht="25.5" x14ac:dyDescent="0.25">
      <c r="A34" s="8" t="s">
        <v>302</v>
      </c>
      <c r="B34" s="8" t="s">
        <v>68</v>
      </c>
      <c r="C34" s="8" t="s">
        <v>113</v>
      </c>
      <c r="D34" s="9">
        <v>30</v>
      </c>
      <c r="E34" s="9" t="s">
        <v>114</v>
      </c>
      <c r="F34" s="9" t="s">
        <v>115</v>
      </c>
      <c r="G34" s="9">
        <v>10</v>
      </c>
      <c r="H34" s="10" t="s">
        <v>303</v>
      </c>
      <c r="I34" s="10" t="s">
        <v>304</v>
      </c>
      <c r="J34" s="10" t="s">
        <v>305</v>
      </c>
      <c r="K34" s="10" t="s">
        <v>306</v>
      </c>
      <c r="L34" s="9" t="s">
        <v>94</v>
      </c>
      <c r="M34" s="9">
        <v>1</v>
      </c>
      <c r="N34" s="9">
        <v>60</v>
      </c>
      <c r="O34" s="10"/>
      <c r="P34" s="10" t="s">
        <v>307</v>
      </c>
      <c r="Q34" s="12" t="s">
        <v>260</v>
      </c>
    </row>
    <row r="35" spans="1:17" ht="25.5" x14ac:dyDescent="0.25">
      <c r="A35" s="8" t="s">
        <v>308</v>
      </c>
      <c r="B35" s="8" t="s">
        <v>68</v>
      </c>
      <c r="C35" s="8" t="s">
        <v>122</v>
      </c>
      <c r="D35" s="12">
        <v>40</v>
      </c>
      <c r="E35" s="12" t="s">
        <v>123</v>
      </c>
      <c r="F35" s="12" t="s">
        <v>124</v>
      </c>
      <c r="G35" s="12">
        <v>10</v>
      </c>
      <c r="H35" s="10" t="s">
        <v>309</v>
      </c>
      <c r="I35" s="10" t="s">
        <v>310</v>
      </c>
      <c r="J35" s="10" t="s">
        <v>311</v>
      </c>
      <c r="K35" s="10" t="s">
        <v>312</v>
      </c>
      <c r="L35" s="12" t="s">
        <v>94</v>
      </c>
      <c r="M35" s="12">
        <v>1</v>
      </c>
      <c r="N35" s="12">
        <v>60</v>
      </c>
      <c r="O35" s="10"/>
      <c r="P35" s="10" t="s">
        <v>313</v>
      </c>
      <c r="Q35" s="12" t="s">
        <v>260</v>
      </c>
    </row>
  </sheetData>
  <phoneticPr fontId="13" type="noConversion"/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L2:L200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SUMPRODUCT((Tracks!$B$2:$B$200="lms")/COUNTIFS(Tracks!$B$2:$B$200,Tracks!$B$2:$B$200&amp;"",Tracks!$C$2:$C$200,Tracks!$C$2:$C$200&amp;""))</f>
        <v>5</v>
      </c>
      <c r="E6" s="16">
        <f>COUNTIF(Tracks!$B$2:$B$200,"lms")</f>
        <v>6</v>
      </c>
      <c r="F6" s="16">
        <f>COUNTIFS(Tracks!$B$2:$B$200,"lms",Tracks!$Q$2:$Q$200,"Live")</f>
        <v>4</v>
      </c>
      <c r="G6" s="16">
        <f>COUNTIFS(Tracks!$B$2:$B$200,"lms",Tracks!$O$2:$O$200,"&lt;&gt;")</f>
        <v>3</v>
      </c>
      <c r="H6" s="16">
        <f>COUNTIFS(Tracks!$B$2:$B$200,"lms",Tracks!$P$2:$P$200,"&lt;&gt;")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SUMPRODUCT((Tracks!$B$2:$B$200="tms")/COUNTIFS(Tracks!$B$2:$B$200,Tracks!$B$2:$B$200&amp;"",Tracks!$C$2:$C$200,Tracks!$C$2:$C$200&amp;""))</f>
        <v>4</v>
      </c>
      <c r="E7" s="14">
        <f>COUNTIF(Tracks!$B$2:$B$200,"tms")</f>
        <v>5</v>
      </c>
      <c r="F7" s="14">
        <f>COUNTIFS(Tracks!$B$2:$B$200,"tms",Tracks!$Q$2:$Q$200,"Live")</f>
        <v>0</v>
      </c>
      <c r="G7" s="14">
        <f>COUNTIFS(Tracks!$B$2:$B$200,"tms",Tracks!$O$2:$O$200,"&lt;&gt;")</f>
        <v>0</v>
      </c>
      <c r="H7" s="14">
        <f>COUNTIFS(Tracks!$B$2:$B$200,"tms",Tracks!$P$2:$P$200,"&lt;&gt;")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SUMPRODUCT((Tracks!$B$2:$B$200="erp")/COUNTIFS(Tracks!$B$2:$B$200,Tracks!$B$2:$B$200&amp;"",Tracks!$C$2:$C$200,Tracks!$C$2:$C$200&amp;""))</f>
        <v>5</v>
      </c>
      <c r="E8" s="16">
        <f>COUNTIF(Tracks!$B$2:$B$200,"erp")</f>
        <v>6</v>
      </c>
      <c r="F8" s="16">
        <f>COUNTIFS(Tracks!$B$2:$B$200,"erp",Tracks!$Q$2:$Q$200,"Live")</f>
        <v>0</v>
      </c>
      <c r="G8" s="16">
        <f>COUNTIFS(Tracks!$B$2:$B$200,"erp",Tracks!$O$2:$O$200,"&lt;&gt;")</f>
        <v>0</v>
      </c>
      <c r="H8" s="16">
        <f>COUNTIFS(Tracks!$B$2:$B$200,"erp",Tracks!$P$2:$P$200,"&lt;&gt;")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SUMPRODUCT((Tracks!$B$2:$B$200="cpay")/COUNTIFS(Tracks!$B$2:$B$200,Tracks!$B$2:$B$200&amp;"",Tracks!$C$2:$C$200,Tracks!$C$2:$C$200&amp;""))</f>
        <v>3</v>
      </c>
      <c r="E9" s="14">
        <f>COUNTIF(Tracks!$B$2:$B$200,"cpay")</f>
        <v>4</v>
      </c>
      <c r="F9" s="14">
        <f>COUNTIFS(Tracks!$B$2:$B$200,"cpay",Tracks!$Q$2:$Q$200,"Live")</f>
        <v>0</v>
      </c>
      <c r="G9" s="14">
        <f>COUNTIFS(Tracks!$B$2:$B$200,"cpay",Tracks!$O$2:$O$200,"&lt;&gt;")</f>
        <v>0</v>
      </c>
      <c r="H9" s="14">
        <f>COUNTIFS(Tracks!$B$2:$B$200,"cpay",Tracks!$P$2:$P$200,"&lt;&gt;")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SUMPRODUCT((Tracks!$B$2:$B$200="edumalls")/COUNTIFS(Tracks!$B$2:$B$200,Tracks!$B$2:$B$200&amp;"",Tracks!$C$2:$C$200,Tracks!$C$2:$C$200&amp;""))</f>
        <v>3</v>
      </c>
      <c r="E10" s="16">
        <f>COUNTIF(Tracks!$B$2:$B$200,"edumalls")</f>
        <v>4</v>
      </c>
      <c r="F10" s="16">
        <f>COUNTIFS(Tracks!$B$2:$B$200,"edumalls",Tracks!$Q$2:$Q$200,"Live")</f>
        <v>0</v>
      </c>
      <c r="G10" s="16">
        <f>COUNTIFS(Tracks!$B$2:$B$200,"edumalls",Tracks!$O$2:$O$200,"&lt;&gt;")</f>
        <v>0</v>
      </c>
      <c r="H10" s="16">
        <f>COUNTIFS(Tracks!$B$2:$B$200,"edumalls",Tracks!$P$2:$P$200,"&lt;&gt;")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SUMPRODUCT((Tracks!$B$2:$B$200="cinspire")/COUNTIFS(Tracks!$B$2:$B$200,Tracks!$B$2:$B$200&amp;"",Tracks!$C$2:$C$200,Tracks!$C$2:$C$200&amp;""))</f>
        <v>4</v>
      </c>
      <c r="E11" s="14">
        <f>COUNTIF(Tracks!$B$2:$B$200,"cinspire")</f>
        <v>5</v>
      </c>
      <c r="F11" s="14">
        <f>COUNTIFS(Tracks!$B$2:$B$200,"cinspire",Tracks!$Q$2:$Q$200,"Live")</f>
        <v>0</v>
      </c>
      <c r="G11" s="14">
        <f>COUNTIFS(Tracks!$B$2:$B$200,"cinspire",Tracks!$O$2:$O$200,"&lt;&gt;")</f>
        <v>0</v>
      </c>
      <c r="H11" s="14">
        <f>COUNTIFS(Tracks!$B$2:$B$200,"cinspire",Tracks!$P$2:$P$200,"&lt;&gt;")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4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2026-10-01T11:37:29Z</dcterms:modified>
  <dc:language>en-US</dc:language>
</cp:coreProperties>
</file>